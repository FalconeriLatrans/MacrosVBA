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AEB4F63-F33D-04DF-ECAF-5796C6CBFC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oberto.freixeira\Documents\Roberto\MacrosVBA\"/>
    </mc:Choice>
  </mc:AlternateContent>
  <xr:revisionPtr revIDLastSave="0" documentId="13_ncr:1_{3EE10A02-01F3-4666-BEFE-D90093CC4859}" xr6:coauthVersionLast="45" xr6:coauthVersionMax="45" xr10:uidLastSave="{00000000-0000-0000-0000-000000000000}"/>
  <bookViews>
    <workbookView xWindow="-120" yWindow="-120" windowWidth="29040" windowHeight="15840" xr2:uid="{919401A7-2535-4D88-A7C5-6B4E9BD623D8}"/>
  </bookViews>
  <sheets>
    <sheet name="Almoço" sheetId="1" r:id="rId1"/>
    <sheet name="PontoHoje" sheetId="2" r:id="rId2"/>
  </sheets>
  <definedNames>
    <definedName name="_xlnm._FilterDatabase" localSheetId="0" hidden="1">Almoço!$A$4:$AL$4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D6" i="1" l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5" i="1"/>
  <c r="AA62" i="1"/>
  <c r="AA87" i="1" s="1"/>
  <c r="AC62" i="1" l="1"/>
  <c r="AB62" i="1"/>
  <c r="Z62" i="1"/>
  <c r="Z87" i="1" s="1"/>
  <c r="Y62" i="1"/>
  <c r="X62" i="1"/>
  <c r="W62" i="1"/>
  <c r="AB87" i="1" l="1"/>
  <c r="AC87" i="1"/>
  <c r="Y87" i="1"/>
  <c r="W87" i="1"/>
  <c r="X87" i="1"/>
  <c r="V62" i="1"/>
  <c r="V87" i="1" s="1"/>
  <c r="U62" i="1"/>
  <c r="U87" i="1" s="1"/>
  <c r="T62" i="1"/>
  <c r="T87" i="1" s="1"/>
  <c r="S62" i="1"/>
  <c r="S87" i="1" s="1"/>
  <c r="R62" i="1"/>
  <c r="R87" i="1" s="1"/>
  <c r="Q62" i="1"/>
  <c r="Q87" i="1" s="1"/>
  <c r="P62" i="1"/>
  <c r="P87" i="1" s="1"/>
  <c r="O62" i="1"/>
  <c r="N62" i="1"/>
  <c r="M62" i="1"/>
  <c r="M87" i="1" s="1"/>
  <c r="L62" i="1"/>
  <c r="L87" i="1" s="1"/>
  <c r="K62" i="1"/>
  <c r="J62" i="1"/>
  <c r="I62" i="1"/>
  <c r="I87" i="1" s="1"/>
  <c r="J87" i="1" l="1"/>
  <c r="N87" i="1"/>
  <c r="K87" i="1"/>
  <c r="O87" i="1"/>
  <c r="H62" i="1"/>
  <c r="H87" i="1" s="1"/>
  <c r="G62" i="1" l="1"/>
  <c r="G87" i="1" l="1"/>
  <c r="F62" i="1"/>
  <c r="F87" i="1" s="1"/>
  <c r="E62" i="1"/>
  <c r="AE39" i="1" l="1"/>
  <c r="AF39" i="1" s="1"/>
  <c r="E87" i="1"/>
  <c r="AD86" i="1"/>
  <c r="AD85" i="1"/>
  <c r="AD84" i="1"/>
  <c r="AD83" i="1"/>
  <c r="AD82" i="1"/>
  <c r="AE52" i="1" l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65" i="1"/>
  <c r="AE59" i="1" l="1"/>
  <c r="AF59" i="1" s="1"/>
  <c r="AE57" i="1"/>
  <c r="AF57" i="1" s="1"/>
  <c r="AE54" i="1"/>
  <c r="AF54" i="1" s="1"/>
  <c r="AE53" i="1"/>
  <c r="AE51" i="1"/>
  <c r="AF51" i="1" s="1"/>
  <c r="AE50" i="1"/>
  <c r="AF50" i="1" s="1"/>
  <c r="AE49" i="1"/>
  <c r="AE46" i="1"/>
  <c r="AF46" i="1" s="1"/>
  <c r="AE42" i="1"/>
  <c r="AF42" i="1" s="1"/>
  <c r="AE33" i="1"/>
  <c r="AE32" i="1"/>
  <c r="AF32" i="1" s="1"/>
  <c r="AE31" i="1"/>
  <c r="AE28" i="1"/>
  <c r="AF28" i="1" s="1"/>
  <c r="AE26" i="1"/>
  <c r="AE24" i="1"/>
  <c r="AF24" i="1" s="1"/>
  <c r="AE23" i="1"/>
  <c r="AE20" i="1"/>
  <c r="AF20" i="1" s="1"/>
  <c r="AE18" i="1"/>
  <c r="AE16" i="1"/>
  <c r="AF16" i="1" s="1"/>
  <c r="AE15" i="1"/>
  <c r="AF15" i="1" s="1"/>
  <c r="AE14" i="1"/>
  <c r="AE12" i="1"/>
  <c r="AF12" i="1" s="1"/>
  <c r="AE11" i="1"/>
  <c r="AF11" i="1" s="1"/>
  <c r="AE7" i="1"/>
  <c r="AF7" i="1" s="1"/>
  <c r="AE21" i="1" l="1"/>
  <c r="AF21" i="1" s="1"/>
  <c r="AE27" i="1"/>
  <c r="AF27" i="1" s="1"/>
  <c r="AE38" i="1"/>
  <c r="AF38" i="1" s="1"/>
  <c r="AE47" i="1"/>
  <c r="AF47" i="1" s="1"/>
  <c r="AF53" i="1"/>
  <c r="AE8" i="1"/>
  <c r="AF8" i="1" s="1"/>
  <c r="AF33" i="1"/>
  <c r="AE43" i="1"/>
  <c r="AF43" i="1" s="1"/>
  <c r="AE58" i="1"/>
  <c r="AF58" i="1" s="1"/>
  <c r="AE29" i="1"/>
  <c r="AF29" i="1" s="1"/>
  <c r="AE40" i="1"/>
  <c r="AF40" i="1" s="1"/>
  <c r="AF18" i="1"/>
  <c r="AE55" i="1"/>
  <c r="AF55" i="1" s="1"/>
  <c r="AE35" i="1"/>
  <c r="AG35" i="1" s="1"/>
  <c r="AE44" i="1"/>
  <c r="AF44" i="1" s="1"/>
  <c r="AE13" i="1"/>
  <c r="AF13" i="1" s="1"/>
  <c r="AE60" i="1"/>
  <c r="AF60" i="1" s="1"/>
  <c r="AD62" i="1"/>
  <c r="AE5" i="1"/>
  <c r="AF26" i="1"/>
  <c r="AE9" i="1"/>
  <c r="AF9" i="1" s="1"/>
  <c r="AE37" i="1"/>
  <c r="AF37" i="1" s="1"/>
  <c r="AE6" i="1"/>
  <c r="AF6" i="1" s="1"/>
  <c r="AE22" i="1"/>
  <c r="AF22" i="1" s="1"/>
  <c r="AE30" i="1"/>
  <c r="AF30" i="1" s="1"/>
  <c r="AE41" i="1"/>
  <c r="AF41" i="1" s="1"/>
  <c r="AE48" i="1"/>
  <c r="AF48" i="1" s="1"/>
  <c r="AE56" i="1"/>
  <c r="AF56" i="1" s="1"/>
  <c r="AE10" i="1"/>
  <c r="AF10" i="1" s="1"/>
  <c r="AF14" i="1"/>
  <c r="AE17" i="1"/>
  <c r="AF17" i="1" s="1"/>
  <c r="AE19" i="1"/>
  <c r="AF23" i="1"/>
  <c r="AE25" i="1"/>
  <c r="AF25" i="1" s="1"/>
  <c r="AF31" i="1"/>
  <c r="AE34" i="1"/>
  <c r="AE36" i="1"/>
  <c r="AE45" i="1"/>
  <c r="AF45" i="1" s="1"/>
  <c r="AF49" i="1"/>
  <c r="AG51" i="1" l="1"/>
  <c r="AG56" i="1"/>
  <c r="AF34" i="1"/>
  <c r="AF35" i="1"/>
  <c r="AG30" i="1"/>
  <c r="AF19" i="1"/>
  <c r="AG18" i="1"/>
  <c r="AE62" i="1"/>
  <c r="AF36" i="1"/>
  <c r="AF5" i="1"/>
  <c r="AG34" i="1"/>
  <c r="AG62" i="1" l="1"/>
  <c r="AF6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Rogeria Santana</author>
  </authors>
  <commentList>
    <comment ref="E5" authorId="0" shapeId="0" xr:uid="{73969C03-FBEC-4C8B-A714-8BEB56B4AC7B}">
      <text>
        <r>
          <rPr>
            <b/>
            <sz val="9"/>
            <color indexed="81"/>
            <rFont val="Segoe UI"/>
            <family val="2"/>
          </rPr>
          <t>J Macedo Simões Filho-BA</t>
        </r>
        <r>
          <rPr>
            <sz val="9"/>
            <color indexed="81"/>
            <rFont val="Segoe UI"/>
            <family val="2"/>
          </rPr>
          <t xml:space="preserve">
 S10005058</t>
        </r>
      </text>
    </comment>
    <comment ref="F5" authorId="0" shapeId="0" xr:uid="{9C47908A-FA83-41F5-8122-62214A6DCAA4}">
      <text>
        <r>
          <rPr>
            <b/>
            <sz val="9"/>
            <color indexed="81"/>
            <rFont val="Segoe UI"/>
            <family val="2"/>
          </rPr>
          <t>J Macedo Simões Filho-BA</t>
        </r>
        <r>
          <rPr>
            <sz val="9"/>
            <color indexed="81"/>
            <rFont val="Segoe UI"/>
            <family val="2"/>
          </rPr>
          <t xml:space="preserve">
 S10005058</t>
        </r>
      </text>
    </comment>
    <comment ref="G5" authorId="0" shapeId="0" xr:uid="{C9E1319C-183A-4CD2-B2A4-4C75390CE877}">
      <text>
        <r>
          <rPr>
            <b/>
            <sz val="9"/>
            <color indexed="81"/>
            <rFont val="Segoe UI"/>
            <family val="2"/>
          </rPr>
          <t>J Macedo Simões Filho-BA</t>
        </r>
        <r>
          <rPr>
            <sz val="9"/>
            <color indexed="81"/>
            <rFont val="Segoe UI"/>
            <family val="2"/>
          </rPr>
          <t xml:space="preserve">
 S10005058</t>
        </r>
      </text>
    </comment>
    <comment ref="H5" authorId="0" shapeId="0" xr:uid="{301D0E69-2058-461E-8928-334CCDE04F0E}">
      <text>
        <r>
          <rPr>
            <b/>
            <sz val="9"/>
            <color indexed="81"/>
            <rFont val="Segoe UI"/>
            <family val="2"/>
          </rPr>
          <t>J Macedo Simões Filho-BA</t>
        </r>
        <r>
          <rPr>
            <sz val="9"/>
            <color indexed="81"/>
            <rFont val="Segoe UI"/>
            <family val="2"/>
          </rPr>
          <t xml:space="preserve">
 S10005058</t>
        </r>
      </text>
    </comment>
    <comment ref="K5" authorId="0" shapeId="0" xr:uid="{F01FD210-8E18-426F-AC3B-6C680DD123F1}">
      <text>
        <r>
          <rPr>
            <b/>
            <sz val="9"/>
            <color indexed="81"/>
            <rFont val="Segoe UI"/>
            <family val="2"/>
          </rPr>
          <t>J Macedo Simões Filho-BA</t>
        </r>
        <r>
          <rPr>
            <sz val="9"/>
            <color indexed="81"/>
            <rFont val="Segoe UI"/>
            <family val="2"/>
          </rPr>
          <t xml:space="preserve">
 S10005058</t>
        </r>
      </text>
    </comment>
    <comment ref="L5" authorId="0" shapeId="0" xr:uid="{1733148F-4E2F-470F-AA78-EF57F03BC2E2}">
      <text>
        <r>
          <rPr>
            <b/>
            <sz val="9"/>
            <color indexed="81"/>
            <rFont val="Segoe UI"/>
            <family val="2"/>
          </rPr>
          <t>J Macedo Simões Filho-BA</t>
        </r>
        <r>
          <rPr>
            <sz val="9"/>
            <color indexed="81"/>
            <rFont val="Segoe UI"/>
            <family val="2"/>
          </rPr>
          <t xml:space="preserve">
 S10005058</t>
        </r>
      </text>
    </comment>
    <comment ref="M5" authorId="0" shapeId="0" xr:uid="{82D44C66-888B-4E67-9D40-E98D4351A726}">
      <text>
        <r>
          <rPr>
            <b/>
            <sz val="9"/>
            <color indexed="81"/>
            <rFont val="Segoe UI"/>
            <family val="2"/>
          </rPr>
          <t>J Macedo Simões Filho-BA</t>
        </r>
        <r>
          <rPr>
            <sz val="9"/>
            <color indexed="81"/>
            <rFont val="Segoe UI"/>
            <family val="2"/>
          </rPr>
          <t xml:space="preserve">
 S10005058</t>
        </r>
      </text>
    </comment>
    <comment ref="O5" authorId="0" shapeId="0" xr:uid="{82DDBCD0-1F8A-4991-86D3-BFE5DEFE22BF}">
      <text>
        <r>
          <rPr>
            <b/>
            <sz val="9"/>
            <color indexed="81"/>
            <rFont val="Segoe UI"/>
            <family val="2"/>
          </rPr>
          <t>J Macedo Simões Filho-BA</t>
        </r>
        <r>
          <rPr>
            <sz val="9"/>
            <color indexed="81"/>
            <rFont val="Segoe UI"/>
            <family val="2"/>
          </rPr>
          <t xml:space="preserve">
 S10005058</t>
        </r>
      </text>
    </comment>
    <comment ref="R5" authorId="0" shapeId="0" xr:uid="{91FD5709-F966-44FE-9A5D-767D88B07C84}">
      <text>
        <r>
          <rPr>
            <b/>
            <sz val="9"/>
            <color indexed="81"/>
            <rFont val="Segoe UI"/>
            <family val="2"/>
          </rPr>
          <t>J Macedo Simões Filho-BA</t>
        </r>
        <r>
          <rPr>
            <sz val="9"/>
            <color indexed="81"/>
            <rFont val="Segoe UI"/>
            <family val="2"/>
          </rPr>
          <t xml:space="preserve">
 S10005058</t>
        </r>
      </text>
    </comment>
    <comment ref="S5" authorId="0" shapeId="0" xr:uid="{63C8A2DF-A6B0-4D0E-854A-8BBCD8CB8C5E}">
      <text>
        <r>
          <rPr>
            <b/>
            <sz val="9"/>
            <color indexed="81"/>
            <rFont val="Segoe UI"/>
            <family val="2"/>
          </rPr>
          <t>J Macedo Simões Filho-BA</t>
        </r>
        <r>
          <rPr>
            <sz val="9"/>
            <color indexed="81"/>
            <rFont val="Segoe UI"/>
            <family val="2"/>
          </rPr>
          <t xml:space="preserve">
 S10005058</t>
        </r>
      </text>
    </comment>
    <comment ref="T5" authorId="0" shapeId="0" xr:uid="{4DC4ECB8-63ED-4A6A-9BC1-1AFEFE6CF559}">
      <text>
        <r>
          <rPr>
            <b/>
            <sz val="9"/>
            <color indexed="81"/>
            <rFont val="Segoe UI"/>
            <family val="2"/>
          </rPr>
          <t>J Macedo Simões Filho-BA</t>
        </r>
        <r>
          <rPr>
            <sz val="9"/>
            <color indexed="81"/>
            <rFont val="Segoe UI"/>
            <family val="2"/>
          </rPr>
          <t xml:space="preserve">
 S10005058</t>
        </r>
      </text>
    </comment>
    <comment ref="V5" authorId="0" shapeId="0" xr:uid="{7FC86768-75D2-46D6-B0F3-55083CD2B523}">
      <text>
        <r>
          <rPr>
            <b/>
            <sz val="9"/>
            <color indexed="81"/>
            <rFont val="Segoe UI"/>
            <family val="2"/>
          </rPr>
          <t>J Macedo Simões Filho-BA</t>
        </r>
        <r>
          <rPr>
            <sz val="9"/>
            <color indexed="81"/>
            <rFont val="Segoe UI"/>
            <family val="2"/>
          </rPr>
          <t xml:space="preserve">
 S10005058</t>
        </r>
      </text>
    </comment>
    <comment ref="K7" authorId="0" shapeId="0" xr:uid="{26D7433E-806F-4DA2-93E8-7E12D08242E8}">
      <text>
        <r>
          <rPr>
            <b/>
            <sz val="9"/>
            <color indexed="81"/>
            <rFont val="Segoe UI"/>
            <family val="2"/>
          </rPr>
          <t xml:space="preserve">CAVANNA SPA </t>
        </r>
      </text>
    </comment>
    <comment ref="L7" authorId="0" shapeId="0" xr:uid="{3DC9B8B1-D488-4318-B157-C954B925A73F}">
      <text>
        <r>
          <rPr>
            <b/>
            <sz val="9"/>
            <color indexed="81"/>
            <rFont val="Segoe UI"/>
            <family val="2"/>
          </rPr>
          <t xml:space="preserve">CAVANNA SPA </t>
        </r>
      </text>
    </comment>
    <comment ref="M7" authorId="0" shapeId="0" xr:uid="{A0394971-FFE7-4AFD-A772-03C57F6D3C5A}">
      <text>
        <r>
          <rPr>
            <b/>
            <sz val="9"/>
            <color indexed="81"/>
            <rFont val="Segoe UI"/>
            <family val="2"/>
          </rPr>
          <t xml:space="preserve">CAVANNA SPA </t>
        </r>
      </text>
    </comment>
    <comment ref="N7" authorId="0" shapeId="0" xr:uid="{B6F5DD59-076D-41AA-952A-0CB4A16FA7DF}">
      <text>
        <r>
          <rPr>
            <b/>
            <sz val="9"/>
            <color indexed="81"/>
            <rFont val="Segoe UI"/>
            <family val="2"/>
          </rPr>
          <t xml:space="preserve">CAVANNA SPA </t>
        </r>
      </text>
    </comment>
    <comment ref="O7" authorId="0" shapeId="0" xr:uid="{D3901EDA-4F26-4017-9656-A3656EC3F5E0}">
      <text>
        <r>
          <rPr>
            <b/>
            <sz val="9"/>
            <color indexed="81"/>
            <rFont val="Segoe UI"/>
            <family val="2"/>
          </rPr>
          <t xml:space="preserve">CAVANNA SPA </t>
        </r>
      </text>
    </comment>
    <comment ref="R7" authorId="0" shapeId="0" xr:uid="{D9AEEB3F-8F7D-4275-94CC-56C46F663F6F}">
      <text>
        <r>
          <rPr>
            <b/>
            <sz val="9"/>
            <color indexed="81"/>
            <rFont val="Segoe UI"/>
            <family val="2"/>
          </rPr>
          <t xml:space="preserve">CAVANNA SPA </t>
        </r>
      </text>
    </comment>
    <comment ref="S7" authorId="0" shapeId="0" xr:uid="{BF20C1AC-73A5-46A7-9353-092E7096AFAB}">
      <text>
        <r>
          <rPr>
            <b/>
            <sz val="9"/>
            <color indexed="81"/>
            <rFont val="Segoe UI"/>
            <family val="2"/>
          </rPr>
          <t xml:space="preserve">CAVANNA SPA </t>
        </r>
      </text>
    </comment>
    <comment ref="T7" authorId="0" shapeId="0" xr:uid="{06BD638C-CAC0-4F8B-83D3-045D3BC49E46}">
      <text>
        <r>
          <rPr>
            <b/>
            <sz val="9"/>
            <color indexed="81"/>
            <rFont val="Segoe UI"/>
            <family val="2"/>
          </rPr>
          <t xml:space="preserve">CAVANNA SPA </t>
        </r>
      </text>
    </comment>
    <comment ref="U7" authorId="0" shapeId="0" xr:uid="{10980AEA-BDA7-4F05-AFFA-E0AF436E491D}">
      <text>
        <r>
          <rPr>
            <b/>
            <sz val="9"/>
            <color indexed="81"/>
            <rFont val="Segoe UI"/>
            <family val="2"/>
          </rPr>
          <t xml:space="preserve">CAVANNA SPA </t>
        </r>
      </text>
    </comment>
    <comment ref="V7" authorId="0" shapeId="0" xr:uid="{AF34C953-6C78-40F1-BC74-8AF62A1E2034}">
      <text>
        <r>
          <rPr>
            <b/>
            <sz val="9"/>
            <color indexed="81"/>
            <rFont val="Segoe UI"/>
            <family val="2"/>
          </rPr>
          <t xml:space="preserve">CAVANNA SPA </t>
        </r>
      </text>
    </comment>
    <comment ref="H8" authorId="0" shapeId="0" xr:uid="{90582592-56C2-416E-85F9-E079ADF0E1B4}">
      <text>
        <r>
          <rPr>
            <sz val="9"/>
            <color indexed="81"/>
            <rFont val="Segoe UI"/>
            <family val="2"/>
          </rPr>
          <t>NÃO RETORNOU DAS FÉRIAS, FALTA COMPENSAR 1 DIA</t>
        </r>
      </text>
    </comment>
    <comment ref="K8" authorId="0" shapeId="0" xr:uid="{6FA486F9-7551-4699-B1C3-60148D06334E}">
      <text>
        <r>
          <rPr>
            <sz val="9"/>
            <color indexed="81"/>
            <rFont val="Segoe UI"/>
            <family val="2"/>
          </rPr>
          <t xml:space="preserve">RET DE FÉRIAS ANTECIPADO DEVIDO A SAÍDA ANTES </t>
        </r>
      </text>
    </comment>
    <comment ref="L8" authorId="0" shapeId="0" xr:uid="{C66CDE07-6B61-444A-9318-D54C002AF747}">
      <text>
        <r>
          <rPr>
            <sz val="9"/>
            <color indexed="81"/>
            <rFont val="Segoe UI"/>
            <family val="2"/>
          </rPr>
          <t xml:space="preserve">RET DE FÉRIAS ANTECIPADO DEVIDO A SAÍDA ANTES </t>
        </r>
      </text>
    </comment>
    <comment ref="E18" authorId="0" shapeId="0" xr:uid="{264E6CE7-831F-45D4-A16B-C4B727048AD9}">
      <text>
        <r>
          <rPr>
            <b/>
            <sz val="9"/>
            <color indexed="81"/>
            <rFont val="Segoe UI"/>
            <family val="2"/>
          </rPr>
          <t>J Macedo Simões Filho-BA</t>
        </r>
        <r>
          <rPr>
            <sz val="9"/>
            <color indexed="81"/>
            <rFont val="Segoe UI"/>
            <family val="2"/>
          </rPr>
          <t xml:space="preserve">
 S10005058</t>
        </r>
      </text>
    </comment>
    <comment ref="F18" authorId="0" shapeId="0" xr:uid="{3142B835-C1A5-4C40-B04C-3BAB5762545B}">
      <text>
        <r>
          <rPr>
            <b/>
            <sz val="9"/>
            <color indexed="81"/>
            <rFont val="Segoe UI"/>
            <family val="2"/>
          </rPr>
          <t>J Macedo Simões Filho-BA</t>
        </r>
        <r>
          <rPr>
            <sz val="9"/>
            <color indexed="81"/>
            <rFont val="Segoe UI"/>
            <family val="2"/>
          </rPr>
          <t xml:space="preserve">
 S10005058</t>
        </r>
      </text>
    </comment>
    <comment ref="G18" authorId="0" shapeId="0" xr:uid="{21E65DDD-7F46-4CD7-B389-90A7721B069F}">
      <text>
        <r>
          <rPr>
            <b/>
            <sz val="9"/>
            <color indexed="81"/>
            <rFont val="Segoe UI"/>
            <family val="2"/>
          </rPr>
          <t>J Macedo Simões Filho-BA</t>
        </r>
        <r>
          <rPr>
            <sz val="9"/>
            <color indexed="81"/>
            <rFont val="Segoe UI"/>
            <family val="2"/>
          </rPr>
          <t xml:space="preserve">
 S10005058</t>
        </r>
      </text>
    </comment>
    <comment ref="H18" authorId="0" shapeId="0" xr:uid="{3BE98F2C-9AA1-4D94-BF60-7D7D3AFF596F}">
      <text>
        <r>
          <rPr>
            <b/>
            <sz val="9"/>
            <color indexed="81"/>
            <rFont val="Segoe UI"/>
            <family val="2"/>
          </rPr>
          <t>J Macedo Simões Filho-BA</t>
        </r>
        <r>
          <rPr>
            <sz val="9"/>
            <color indexed="81"/>
            <rFont val="Segoe UI"/>
            <family val="2"/>
          </rPr>
          <t xml:space="preserve">
 S10005058</t>
        </r>
      </text>
    </comment>
    <comment ref="K18" authorId="0" shapeId="0" xr:uid="{E6758A66-6625-43BB-B73A-2936C863825D}">
      <text>
        <r>
          <rPr>
            <b/>
            <sz val="9"/>
            <color indexed="81"/>
            <rFont val="Segoe UI"/>
            <family val="2"/>
          </rPr>
          <t>J Macedo Simões Filho-BA</t>
        </r>
        <r>
          <rPr>
            <sz val="9"/>
            <color indexed="81"/>
            <rFont val="Segoe UI"/>
            <family val="2"/>
          </rPr>
          <t xml:space="preserve">
 S10005058</t>
        </r>
      </text>
    </comment>
    <comment ref="L18" authorId="0" shapeId="0" xr:uid="{31F9200A-4B4E-4EF2-A736-454132819F0C}">
      <text>
        <r>
          <rPr>
            <b/>
            <sz val="9"/>
            <color indexed="81"/>
            <rFont val="Segoe UI"/>
            <family val="2"/>
          </rPr>
          <t>J Macedo Simões Filho-BA</t>
        </r>
        <r>
          <rPr>
            <sz val="9"/>
            <color indexed="81"/>
            <rFont val="Segoe UI"/>
            <family val="2"/>
          </rPr>
          <t xml:space="preserve">
 S10005058</t>
        </r>
      </text>
    </comment>
    <comment ref="M18" authorId="0" shapeId="0" xr:uid="{3E67E485-482E-47E7-A92C-DE094E67E590}">
      <text>
        <r>
          <rPr>
            <b/>
            <sz val="9"/>
            <color indexed="81"/>
            <rFont val="Segoe UI"/>
            <family val="2"/>
          </rPr>
          <t>J Macedo Simões Filho-BA</t>
        </r>
        <r>
          <rPr>
            <sz val="9"/>
            <color indexed="81"/>
            <rFont val="Segoe UI"/>
            <family val="2"/>
          </rPr>
          <t xml:space="preserve">
 S10005058</t>
        </r>
      </text>
    </comment>
    <comment ref="N18" authorId="0" shapeId="0" xr:uid="{B5933412-3C3C-4CC6-872A-D4D3C95D4FF3}">
      <text>
        <r>
          <rPr>
            <b/>
            <sz val="9"/>
            <color indexed="81"/>
            <rFont val="Segoe UI"/>
            <family val="2"/>
          </rPr>
          <t>J Macedo Simões Filho-BA</t>
        </r>
        <r>
          <rPr>
            <sz val="9"/>
            <color indexed="81"/>
            <rFont val="Segoe UI"/>
            <family val="2"/>
          </rPr>
          <t xml:space="preserve">
 S10005058</t>
        </r>
      </text>
    </comment>
    <comment ref="O18" authorId="0" shapeId="0" xr:uid="{79FCD8B6-9E47-4A2A-8F29-E0E28868C6C1}">
      <text>
        <r>
          <rPr>
            <b/>
            <sz val="9"/>
            <color indexed="81"/>
            <rFont val="Segoe UI"/>
            <family val="2"/>
          </rPr>
          <t>J Macedo Simões Filho-BA</t>
        </r>
        <r>
          <rPr>
            <sz val="9"/>
            <color indexed="81"/>
            <rFont val="Segoe UI"/>
            <family val="2"/>
          </rPr>
          <t xml:space="preserve">
 S10005058</t>
        </r>
      </text>
    </comment>
    <comment ref="R18" authorId="0" shapeId="0" xr:uid="{97A5AD12-ED3B-4773-B8ED-83FF9A847AD3}">
      <text>
        <r>
          <rPr>
            <b/>
            <sz val="9"/>
            <color indexed="81"/>
            <rFont val="Segoe UI"/>
            <family val="2"/>
          </rPr>
          <t>J Macedo Simões Filho-BA</t>
        </r>
        <r>
          <rPr>
            <sz val="9"/>
            <color indexed="81"/>
            <rFont val="Segoe UI"/>
            <family val="2"/>
          </rPr>
          <t xml:space="preserve">
 S10005058</t>
        </r>
      </text>
    </comment>
    <comment ref="S18" authorId="0" shapeId="0" xr:uid="{E45275C6-1388-4D20-9D8A-79261BAB9C1E}">
      <text>
        <r>
          <rPr>
            <b/>
            <sz val="9"/>
            <color indexed="81"/>
            <rFont val="Segoe UI"/>
            <family val="2"/>
          </rPr>
          <t>J Macedo Simões Filho-BA</t>
        </r>
        <r>
          <rPr>
            <sz val="9"/>
            <color indexed="81"/>
            <rFont val="Segoe UI"/>
            <family val="2"/>
          </rPr>
          <t xml:space="preserve">
 S10005058</t>
        </r>
      </text>
    </comment>
    <comment ref="T18" authorId="0" shapeId="0" xr:uid="{A4287185-968A-4048-9479-3370C27E8336}">
      <text>
        <r>
          <rPr>
            <b/>
            <sz val="9"/>
            <color indexed="81"/>
            <rFont val="Segoe UI"/>
            <family val="2"/>
          </rPr>
          <t>J Macedo Simões Filho-BA</t>
        </r>
        <r>
          <rPr>
            <sz val="9"/>
            <color indexed="81"/>
            <rFont val="Segoe UI"/>
            <family val="2"/>
          </rPr>
          <t xml:space="preserve">
 S10005058</t>
        </r>
      </text>
    </comment>
    <comment ref="U18" authorId="0" shapeId="0" xr:uid="{336366EA-F441-41A9-84C8-9AB41F8F84F9}">
      <text>
        <r>
          <rPr>
            <b/>
            <sz val="9"/>
            <color indexed="81"/>
            <rFont val="Segoe UI"/>
            <family val="2"/>
          </rPr>
          <t>J Macedo Simões Filho-BA</t>
        </r>
        <r>
          <rPr>
            <sz val="9"/>
            <color indexed="81"/>
            <rFont val="Segoe UI"/>
            <family val="2"/>
          </rPr>
          <t xml:space="preserve">
 S10005058</t>
        </r>
      </text>
    </comment>
    <comment ref="V18" authorId="0" shapeId="0" xr:uid="{9BD6E4F5-A588-49E0-87FE-194C6ED9B07A}">
      <text>
        <r>
          <rPr>
            <b/>
            <sz val="9"/>
            <color indexed="81"/>
            <rFont val="Segoe UI"/>
            <family val="2"/>
          </rPr>
          <t>J Macedo Simões Filho-BA</t>
        </r>
        <r>
          <rPr>
            <sz val="9"/>
            <color indexed="81"/>
            <rFont val="Segoe UI"/>
            <family val="2"/>
          </rPr>
          <t xml:space="preserve">
 S10005058</t>
        </r>
      </text>
    </comment>
    <comment ref="Y18" authorId="0" shapeId="0" xr:uid="{89C46A9D-0C9A-4A68-8859-48FF637A0CED}">
      <text>
        <r>
          <rPr>
            <b/>
            <sz val="9"/>
            <color indexed="81"/>
            <rFont val="Segoe UI"/>
            <family val="2"/>
          </rPr>
          <t>J Macedo Simões Filho-BA</t>
        </r>
        <r>
          <rPr>
            <sz val="9"/>
            <color indexed="81"/>
            <rFont val="Segoe UI"/>
            <family val="2"/>
          </rPr>
          <t xml:space="preserve">
 S10005058</t>
        </r>
      </text>
    </comment>
    <comment ref="Z18" authorId="0" shapeId="0" xr:uid="{379D2559-DB66-4A59-9B4C-A536026CF751}">
      <text>
        <r>
          <rPr>
            <b/>
            <sz val="9"/>
            <color indexed="81"/>
            <rFont val="Segoe UI"/>
            <family val="2"/>
          </rPr>
          <t>J Macedo Simões Filho-BA</t>
        </r>
        <r>
          <rPr>
            <sz val="9"/>
            <color indexed="81"/>
            <rFont val="Segoe UI"/>
            <family val="2"/>
          </rPr>
          <t xml:space="preserve">
 S10005058</t>
        </r>
      </text>
    </comment>
    <comment ref="AA18" authorId="0" shapeId="0" xr:uid="{D216A3D9-D0B4-435F-B3E1-A1BA7614AC81}">
      <text>
        <r>
          <rPr>
            <b/>
            <sz val="9"/>
            <color indexed="81"/>
            <rFont val="Segoe UI"/>
            <family val="2"/>
          </rPr>
          <t>J Macedo Simões Filho-BA</t>
        </r>
        <r>
          <rPr>
            <sz val="9"/>
            <color indexed="81"/>
            <rFont val="Segoe UI"/>
            <family val="2"/>
          </rPr>
          <t xml:space="preserve">
 S10005058</t>
        </r>
      </text>
    </comment>
    <comment ref="AB18" authorId="0" shapeId="0" xr:uid="{052E0264-B9E8-42BB-B6C0-774F1AC70227}">
      <text>
        <r>
          <rPr>
            <b/>
            <sz val="9"/>
            <color indexed="81"/>
            <rFont val="Segoe UI"/>
            <family val="2"/>
          </rPr>
          <t>J Macedo Simões Filho-BA</t>
        </r>
        <r>
          <rPr>
            <sz val="9"/>
            <color indexed="81"/>
            <rFont val="Segoe UI"/>
            <family val="2"/>
          </rPr>
          <t xml:space="preserve">
 S10005058</t>
        </r>
      </text>
    </comment>
    <comment ref="AC18" authorId="0" shapeId="0" xr:uid="{C577AF31-D417-4AC8-BD76-2521E397867C}">
      <text>
        <r>
          <rPr>
            <b/>
            <sz val="9"/>
            <color indexed="81"/>
            <rFont val="Segoe UI"/>
            <family val="2"/>
          </rPr>
          <t>J Macedo Simões Filho-BA</t>
        </r>
        <r>
          <rPr>
            <sz val="9"/>
            <color indexed="81"/>
            <rFont val="Segoe UI"/>
            <family val="2"/>
          </rPr>
          <t xml:space="preserve">
 S10005058</t>
        </r>
      </text>
    </comment>
    <comment ref="E24" authorId="0" shapeId="0" xr:uid="{6FD7FF14-F365-4D00-B696-CB6B84EBABDA}">
      <text>
        <r>
          <rPr>
            <b/>
            <sz val="9"/>
            <color indexed="81"/>
            <rFont val="Segoe UI"/>
            <family val="2"/>
          </rPr>
          <t>J. Macêdo-BA</t>
        </r>
        <r>
          <rPr>
            <sz val="9"/>
            <color indexed="81"/>
            <rFont val="Segoe UI"/>
            <family val="2"/>
          </rPr>
          <t xml:space="preserve">
S10005058</t>
        </r>
      </text>
    </comment>
    <comment ref="F24" authorId="0" shapeId="0" xr:uid="{1C6A8D56-CE03-42A3-8CF0-4732D15B1A76}">
      <text>
        <r>
          <rPr>
            <b/>
            <sz val="9"/>
            <color indexed="81"/>
            <rFont val="Segoe UI"/>
            <family val="2"/>
          </rPr>
          <t>J. Macêdo-BA</t>
        </r>
        <r>
          <rPr>
            <sz val="9"/>
            <color indexed="81"/>
            <rFont val="Segoe UI"/>
            <family val="2"/>
          </rPr>
          <t xml:space="preserve">
S10005058</t>
        </r>
      </text>
    </comment>
    <comment ref="G24" authorId="0" shapeId="0" xr:uid="{EE9895E6-D381-4999-9DF8-4FAA1D7760C0}">
      <text>
        <r>
          <rPr>
            <b/>
            <sz val="9"/>
            <color indexed="81"/>
            <rFont val="Segoe UI"/>
            <family val="2"/>
          </rPr>
          <t>J. Macêdo-BA</t>
        </r>
        <r>
          <rPr>
            <sz val="9"/>
            <color indexed="81"/>
            <rFont val="Segoe UI"/>
            <family val="2"/>
          </rPr>
          <t xml:space="preserve">
S10005058</t>
        </r>
      </text>
    </comment>
    <comment ref="H24" authorId="0" shapeId="0" xr:uid="{22ACA521-0654-4383-8078-3678EA5D61B5}">
      <text>
        <r>
          <rPr>
            <b/>
            <sz val="9"/>
            <color indexed="81"/>
            <rFont val="Segoe UI"/>
            <family val="2"/>
          </rPr>
          <t>J. Macêdo-BA</t>
        </r>
        <r>
          <rPr>
            <sz val="9"/>
            <color indexed="81"/>
            <rFont val="Segoe UI"/>
            <family val="2"/>
          </rPr>
          <t xml:space="preserve">
S10005058</t>
        </r>
      </text>
    </comment>
    <comment ref="K24" authorId="0" shapeId="0" xr:uid="{4F837C8A-0A09-4572-875B-95216946B318}">
      <text>
        <r>
          <rPr>
            <b/>
            <sz val="9"/>
            <color indexed="81"/>
            <rFont val="Segoe UI"/>
            <family val="2"/>
          </rPr>
          <t>J. Macêdo-BA</t>
        </r>
        <r>
          <rPr>
            <sz val="9"/>
            <color indexed="81"/>
            <rFont val="Segoe UI"/>
            <family val="2"/>
          </rPr>
          <t xml:space="preserve">
S10005058</t>
        </r>
      </text>
    </comment>
    <comment ref="L24" authorId="0" shapeId="0" xr:uid="{5356DC49-7F15-4D43-AA52-22E6A8EFD5A8}">
      <text>
        <r>
          <rPr>
            <b/>
            <sz val="9"/>
            <color indexed="81"/>
            <rFont val="Segoe UI"/>
            <family val="2"/>
          </rPr>
          <t>J. Macêdo-BA</t>
        </r>
        <r>
          <rPr>
            <sz val="9"/>
            <color indexed="81"/>
            <rFont val="Segoe UI"/>
            <family val="2"/>
          </rPr>
          <t xml:space="preserve">
S10005058</t>
        </r>
      </text>
    </comment>
    <comment ref="M24" authorId="0" shapeId="0" xr:uid="{B257AA7A-90FF-4849-A46F-9D36FDE20366}">
      <text>
        <r>
          <rPr>
            <b/>
            <sz val="9"/>
            <color indexed="81"/>
            <rFont val="Segoe UI"/>
            <family val="2"/>
          </rPr>
          <t>J. Macêdo-BA</t>
        </r>
        <r>
          <rPr>
            <sz val="9"/>
            <color indexed="81"/>
            <rFont val="Segoe UI"/>
            <family val="2"/>
          </rPr>
          <t xml:space="preserve">
S10005058</t>
        </r>
      </text>
    </comment>
    <comment ref="N24" authorId="0" shapeId="0" xr:uid="{5E8EFB69-232C-4992-B2D5-2A43ED2816A3}">
      <text>
        <r>
          <rPr>
            <b/>
            <sz val="9"/>
            <color indexed="81"/>
            <rFont val="Segoe UI"/>
            <family val="2"/>
          </rPr>
          <t>J. Macêdo-BA</t>
        </r>
        <r>
          <rPr>
            <sz val="9"/>
            <color indexed="81"/>
            <rFont val="Segoe UI"/>
            <family val="2"/>
          </rPr>
          <t xml:space="preserve">
S10005058</t>
        </r>
      </text>
    </comment>
    <comment ref="O24" authorId="0" shapeId="0" xr:uid="{D8CEB634-DA2F-486D-8E8E-560CC2DDADDF}">
      <text>
        <r>
          <rPr>
            <b/>
            <sz val="9"/>
            <color indexed="81"/>
            <rFont val="Segoe UI"/>
            <family val="2"/>
          </rPr>
          <t>J. Macêdo-BA</t>
        </r>
        <r>
          <rPr>
            <sz val="9"/>
            <color indexed="81"/>
            <rFont val="Segoe UI"/>
            <family val="2"/>
          </rPr>
          <t xml:space="preserve">
S10005058</t>
        </r>
      </text>
    </comment>
    <comment ref="R24" authorId="0" shapeId="0" xr:uid="{725F9E00-F381-4920-BAD3-B116DB9FDE69}">
      <text>
        <r>
          <rPr>
            <b/>
            <sz val="9"/>
            <color indexed="81"/>
            <rFont val="Segoe UI"/>
            <family val="2"/>
          </rPr>
          <t>J. Macêdo-BA</t>
        </r>
        <r>
          <rPr>
            <sz val="9"/>
            <color indexed="81"/>
            <rFont val="Segoe UI"/>
            <family val="2"/>
          </rPr>
          <t xml:space="preserve">
S10005058</t>
        </r>
      </text>
    </comment>
    <comment ref="S24" authorId="0" shapeId="0" xr:uid="{5B103BD0-09F3-4310-ABA5-17EBE5EAB7F6}">
      <text>
        <r>
          <rPr>
            <b/>
            <sz val="9"/>
            <color indexed="81"/>
            <rFont val="Segoe UI"/>
            <family val="2"/>
          </rPr>
          <t>J. Macêdo-BA</t>
        </r>
        <r>
          <rPr>
            <sz val="9"/>
            <color indexed="81"/>
            <rFont val="Segoe UI"/>
            <family val="2"/>
          </rPr>
          <t xml:space="preserve">
S10005058</t>
        </r>
      </text>
    </comment>
    <comment ref="T24" authorId="0" shapeId="0" xr:uid="{CC5392ED-2CE9-4D6D-A5C9-6D002F2DD215}">
      <text>
        <r>
          <rPr>
            <b/>
            <sz val="9"/>
            <color indexed="81"/>
            <rFont val="Segoe UI"/>
            <family val="2"/>
          </rPr>
          <t>J. Macêdo-BA</t>
        </r>
        <r>
          <rPr>
            <sz val="9"/>
            <color indexed="81"/>
            <rFont val="Segoe UI"/>
            <family val="2"/>
          </rPr>
          <t xml:space="preserve">
S10005058</t>
        </r>
      </text>
    </comment>
    <comment ref="U24" authorId="0" shapeId="0" xr:uid="{07B71FD2-7313-4B55-BC7B-A9EEF618D617}">
      <text>
        <r>
          <rPr>
            <b/>
            <sz val="9"/>
            <color indexed="81"/>
            <rFont val="Segoe UI"/>
            <family val="2"/>
          </rPr>
          <t>J. Macêdo-BA</t>
        </r>
        <r>
          <rPr>
            <sz val="9"/>
            <color indexed="81"/>
            <rFont val="Segoe UI"/>
            <family val="2"/>
          </rPr>
          <t xml:space="preserve">
S10005058</t>
        </r>
      </text>
    </comment>
    <comment ref="V24" authorId="0" shapeId="0" xr:uid="{1A471D1E-6D30-4902-B2F9-82B730CE50AA}">
      <text>
        <r>
          <rPr>
            <b/>
            <sz val="9"/>
            <color indexed="81"/>
            <rFont val="Segoe UI"/>
            <family val="2"/>
          </rPr>
          <t>J. Macêdo-BA</t>
        </r>
        <r>
          <rPr>
            <sz val="9"/>
            <color indexed="81"/>
            <rFont val="Segoe UI"/>
            <family val="2"/>
          </rPr>
          <t xml:space="preserve">
S10005058</t>
        </r>
      </text>
    </comment>
    <comment ref="K31" authorId="0" shapeId="0" xr:uid="{68793CEA-A8F4-43D0-ACEB-2167421114FD}">
      <text>
        <r>
          <rPr>
            <b/>
            <sz val="9"/>
            <color indexed="81"/>
            <rFont val="Segoe UI"/>
            <family val="2"/>
          </rPr>
          <t>J Macedo Simões Filho-BA</t>
        </r>
        <r>
          <rPr>
            <sz val="9"/>
            <color indexed="81"/>
            <rFont val="Segoe UI"/>
            <family val="2"/>
          </rPr>
          <t xml:space="preserve">
 S10005058</t>
        </r>
      </text>
    </comment>
    <comment ref="R31" authorId="0" shapeId="0" xr:uid="{1D3E1290-D45B-46F3-B292-C982308BE806}">
      <text>
        <r>
          <rPr>
            <b/>
            <sz val="9"/>
            <color indexed="81"/>
            <rFont val="Segoe UI"/>
            <family val="2"/>
          </rPr>
          <t>J Macedo Simões Filho-BA</t>
        </r>
        <r>
          <rPr>
            <sz val="9"/>
            <color indexed="81"/>
            <rFont val="Segoe UI"/>
            <family val="2"/>
          </rPr>
          <t xml:space="preserve">
 S10005058</t>
        </r>
      </text>
    </comment>
    <comment ref="E33" authorId="0" shapeId="0" xr:uid="{7F96D8F8-2B2F-430C-9626-04CC2887F219}">
      <text>
        <r>
          <rPr>
            <b/>
            <sz val="9"/>
            <color indexed="81"/>
            <rFont val="Segoe UI"/>
            <family val="2"/>
          </rPr>
          <t>J Macedo Simões Filho-BA</t>
        </r>
        <r>
          <rPr>
            <sz val="9"/>
            <color indexed="81"/>
            <rFont val="Segoe UI"/>
            <family val="2"/>
          </rPr>
          <t xml:space="preserve">
 S10005058</t>
        </r>
      </text>
    </comment>
    <comment ref="K33" authorId="0" shapeId="0" xr:uid="{C01ED3E9-8A6F-4C83-8609-ADB6CD7DA036}">
      <text>
        <r>
          <rPr>
            <b/>
            <sz val="9"/>
            <color indexed="81"/>
            <rFont val="Segoe UI"/>
            <family val="2"/>
          </rPr>
          <t>J Macedo Simões Filho-BA</t>
        </r>
        <r>
          <rPr>
            <sz val="9"/>
            <color indexed="81"/>
            <rFont val="Segoe UI"/>
            <family val="2"/>
          </rPr>
          <t xml:space="preserve">
 S10005058</t>
        </r>
      </text>
    </comment>
    <comment ref="L33" authorId="0" shapeId="0" xr:uid="{C15ABA00-66F4-4315-A244-C7E0DF505581}">
      <text>
        <r>
          <rPr>
            <b/>
            <sz val="9"/>
            <color indexed="81"/>
            <rFont val="Segoe UI"/>
            <family val="2"/>
          </rPr>
          <t>J Macedo Simões Filho-BA</t>
        </r>
        <r>
          <rPr>
            <sz val="9"/>
            <color indexed="81"/>
            <rFont val="Segoe UI"/>
            <family val="2"/>
          </rPr>
          <t xml:space="preserve">
 S10005058</t>
        </r>
      </text>
    </comment>
    <comment ref="R33" authorId="0" shapeId="0" xr:uid="{875F4276-2350-4143-BA17-382FE9235BE3}">
      <text>
        <r>
          <rPr>
            <b/>
            <sz val="9"/>
            <color indexed="81"/>
            <rFont val="Segoe UI"/>
            <family val="2"/>
          </rPr>
          <t>J Macedo Simões Filho-BA</t>
        </r>
        <r>
          <rPr>
            <sz val="9"/>
            <color indexed="81"/>
            <rFont val="Segoe UI"/>
            <family val="2"/>
          </rPr>
          <t xml:space="preserve">
 S10005058</t>
        </r>
      </text>
    </comment>
    <comment ref="S33" authorId="0" shapeId="0" xr:uid="{62095A31-ED74-4839-8FCB-B844819E0293}">
      <text>
        <r>
          <rPr>
            <b/>
            <sz val="9"/>
            <color indexed="81"/>
            <rFont val="Segoe UI"/>
            <family val="2"/>
          </rPr>
          <t>J Macedo Simões Filho-BA</t>
        </r>
        <r>
          <rPr>
            <sz val="9"/>
            <color indexed="81"/>
            <rFont val="Segoe UI"/>
            <family val="2"/>
          </rPr>
          <t xml:space="preserve">
 S10005058</t>
        </r>
      </text>
    </comment>
  </commentList>
</comments>
</file>

<file path=xl/sharedStrings.xml><?xml version="1.0" encoding="utf-8"?>
<sst xmlns="http://schemas.openxmlformats.org/spreadsheetml/2006/main" count="551" uniqueCount="112">
  <si>
    <t>VALOR</t>
  </si>
  <si>
    <t>D</t>
  </si>
  <si>
    <t>S</t>
  </si>
  <si>
    <t>T</t>
  </si>
  <si>
    <t>Q</t>
  </si>
  <si>
    <t>TOTAL REFEIÇÕES</t>
  </si>
  <si>
    <t>DESCONTO FOPAG            VB 434</t>
  </si>
  <si>
    <t xml:space="preserve">PART. EMPRESA FOPAG          </t>
  </si>
  <si>
    <t>DESCONTO FOPAG C.C</t>
  </si>
  <si>
    <t>MAT</t>
  </si>
  <si>
    <t>C.C</t>
  </si>
  <si>
    <t>NOME</t>
  </si>
  <si>
    <t>H</t>
  </si>
  <si>
    <t>E</t>
  </si>
  <si>
    <t>FT</t>
  </si>
  <si>
    <t>AU</t>
  </si>
  <si>
    <t>000091</t>
  </si>
  <si>
    <t>F</t>
  </si>
  <si>
    <t>000126</t>
  </si>
  <si>
    <t>000162</t>
  </si>
  <si>
    <t>000173</t>
  </si>
  <si>
    <t>000193</t>
  </si>
  <si>
    <t>000195</t>
  </si>
  <si>
    <t>000200</t>
  </si>
  <si>
    <t>000205</t>
  </si>
  <si>
    <t>000208</t>
  </si>
  <si>
    <t>000209</t>
  </si>
  <si>
    <t>000216</t>
  </si>
  <si>
    <t>000217</t>
  </si>
  <si>
    <t>000224</t>
  </si>
  <si>
    <t>000023</t>
  </si>
  <si>
    <t>000030</t>
  </si>
  <si>
    <t>000046</t>
  </si>
  <si>
    <t>000053</t>
  </si>
  <si>
    <t>000072</t>
  </si>
  <si>
    <t>000105</t>
  </si>
  <si>
    <t>000177</t>
  </si>
  <si>
    <t>000203</t>
  </si>
  <si>
    <t>000206</t>
  </si>
  <si>
    <t>000210</t>
  </si>
  <si>
    <t>000226</t>
  </si>
  <si>
    <t>000228</t>
  </si>
  <si>
    <t>000229</t>
  </si>
  <si>
    <t>000006</t>
  </si>
  <si>
    <t>000207</t>
  </si>
  <si>
    <t>000214</t>
  </si>
  <si>
    <t>000215</t>
  </si>
  <si>
    <t>000181</t>
  </si>
  <si>
    <t>000112</t>
  </si>
  <si>
    <t>AF</t>
  </si>
  <si>
    <t>000117</t>
  </si>
  <si>
    <t>000170</t>
  </si>
  <si>
    <t>000180</t>
  </si>
  <si>
    <t>000184</t>
  </si>
  <si>
    <t>000186</t>
  </si>
  <si>
    <t>000197</t>
  </si>
  <si>
    <t>000198</t>
  </si>
  <si>
    <t>000204</t>
  </si>
  <si>
    <t>000211</t>
  </si>
  <si>
    <t>000221</t>
  </si>
  <si>
    <t>000222</t>
  </si>
  <si>
    <t>000227</t>
  </si>
  <si>
    <t>000231</t>
  </si>
  <si>
    <t>Terc</t>
  </si>
  <si>
    <t>000003</t>
  </si>
  <si>
    <t>000047</t>
  </si>
  <si>
    <t>000062</t>
  </si>
  <si>
    <t>000148</t>
  </si>
  <si>
    <t>000225</t>
  </si>
  <si>
    <t>000015</t>
  </si>
  <si>
    <t>000190</t>
  </si>
  <si>
    <t>000199</t>
  </si>
  <si>
    <t>000219</t>
  </si>
  <si>
    <t>TERCEIROS</t>
  </si>
  <si>
    <t>VISITANTES DEP. ENGENHARIA</t>
  </si>
  <si>
    <t xml:space="preserve">VISITANTES DEP. COMPRAS </t>
  </si>
  <si>
    <t>VISITANTES DEP. COMERCIAL</t>
  </si>
  <si>
    <t>VISITANTES DEP. ADM</t>
  </si>
  <si>
    <t>FAT NUTRISUL BV00154</t>
  </si>
  <si>
    <t>FAT TONDO BV00156</t>
  </si>
  <si>
    <t>FAT BV00158</t>
  </si>
  <si>
    <t>SPA</t>
  </si>
  <si>
    <t>Pierre Menegaldo</t>
  </si>
  <si>
    <t xml:space="preserve"> B0002558</t>
  </si>
  <si>
    <t>DUX COMÉRCIO (B0002558) - MACIEL</t>
  </si>
  <si>
    <t>B0002256</t>
  </si>
  <si>
    <t xml:space="preserve">DMMD SERVIÇOS (B0002256) - IVO LIMA DE SOUZA </t>
  </si>
  <si>
    <t>B0002703</t>
  </si>
  <si>
    <t>EDUARDO AGUILAR (B0002703)</t>
  </si>
  <si>
    <t>INFOCOPYVIN - MATHEUS</t>
  </si>
  <si>
    <t>B0002667</t>
  </si>
  <si>
    <t>PROJET LINE (B0002667) - EDISON</t>
  </si>
  <si>
    <t xml:space="preserve">ST DATA </t>
  </si>
  <si>
    <t xml:space="preserve">MARCOS </t>
  </si>
  <si>
    <t>LGS</t>
  </si>
  <si>
    <t>ERIVAN AUGUSTO GONÇALVES</t>
  </si>
  <si>
    <t xml:space="preserve">SOGEST </t>
  </si>
  <si>
    <t xml:space="preserve">FÁBIO PERES </t>
  </si>
  <si>
    <t xml:space="preserve">LORENZO </t>
  </si>
  <si>
    <t>FERNANDO</t>
  </si>
  <si>
    <t xml:space="preserve">PAULO LEE </t>
  </si>
  <si>
    <t xml:space="preserve">TOTAL DE REFEIÇÕES </t>
  </si>
  <si>
    <t>LUIS CARLOS REIS MANOEL (B0002585)</t>
  </si>
  <si>
    <t>PORTARIA (1) E LIMPEZA (2)</t>
  </si>
  <si>
    <t>Giovanni Gallarini, David, Friedmman, Alessandra, Mauro</t>
  </si>
  <si>
    <t>FAT J MACEDO</t>
  </si>
  <si>
    <t>au</t>
  </si>
  <si>
    <t>REFEIÇÕES OUTUBRO</t>
  </si>
  <si>
    <t xml:space="preserve">FÁBRICA </t>
  </si>
  <si>
    <t>000232</t>
  </si>
  <si>
    <t>Ponto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</si>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</sst>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164" formatCode="_-&quot;R$&quot;\ * #,##0.00_-;\-&quot;R$&quot;\ * #,##0.00_-;_-&quot;R$&quot;\ * &quot;-&quot;??_-;_-@"/>
    <numFmt numFmtId="165" formatCode="[$-416]d\-mmm;@"/>
    <numFmt numFmtId="166" formatCode="&quot;R$&quot;\ #,##0.00"/>
  </numFmts>
  <fonts count="18">
    <font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name val="Arial"/>
      <family val="2"/>
    </font>
    <font>
      <b/>
      <sz val="9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0000"/>
      <name val="Arial"/>
      <family val="2"/>
    </font>
    <font>
      <sz val="12"/>
      <name val="Arial"/>
      <family val="2"/>
    </font>
    <font>
      <sz val="10"/>
      <name val="Calibri "/>
    </font>
    <font>
      <b/>
      <i/>
      <sz val="12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rgb="FF8EAADB"/>
        <bgColor rgb="FF8EAADB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rgb="FF92D050"/>
      </patternFill>
    </fill>
    <fill>
      <patternFill patternType="solid">
        <fgColor rgb="FFB1C8F5"/>
        <bgColor rgb="FFFFFF00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D8D8D8"/>
      </patternFill>
    </fill>
    <fill>
      <patternFill patternType="solid">
        <fgColor rgb="FFFF0000"/>
        <bgColor rgb="FFFF0000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indexed="64"/>
      </patternFill>
    </fill>
  </fills>
  <borders count="81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09">
    <xf numFmtId="0" fontId="0" fillId="0" borderId="0" xfId="0"/>
    <xf numFmtId="164" fontId="3" fillId="2" borderId="4" xfId="0" applyNumberFormat="1" applyFont="1" applyFill="1" applyBorder="1" applyAlignment="1">
      <alignment horizontal="center"/>
    </xf>
    <xf numFmtId="2" fontId="3" fillId="0" borderId="5" xfId="0" applyNumberFormat="1" applyFont="1" applyBorder="1" applyAlignment="1">
      <alignment horizontal="left"/>
    </xf>
    <xf numFmtId="0" fontId="0" fillId="0" borderId="9" xfId="0" applyBorder="1" applyAlignment="1">
      <alignment horizontal="center"/>
    </xf>
    <xf numFmtId="0" fontId="0" fillId="4" borderId="9" xfId="0" applyFill="1" applyBorder="1" applyAlignment="1">
      <alignment horizontal="center"/>
    </xf>
    <xf numFmtId="165" fontId="6" fillId="0" borderId="9" xfId="0" applyNumberFormat="1" applyFont="1" applyBorder="1" applyAlignment="1">
      <alignment horizontal="center" textRotation="90"/>
    </xf>
    <xf numFmtId="165" fontId="6" fillId="4" borderId="9" xfId="0" applyNumberFormat="1" applyFont="1" applyFill="1" applyBorder="1" applyAlignment="1">
      <alignment horizontal="center" textRotation="90"/>
    </xf>
    <xf numFmtId="0" fontId="10" fillId="9" borderId="21" xfId="0" applyFont="1" applyFill="1" applyBorder="1" applyAlignment="1">
      <alignment horizontal="center" vertical="center"/>
    </xf>
    <xf numFmtId="0" fontId="10" fillId="0" borderId="21" xfId="0" applyFont="1" applyBorder="1" applyAlignment="1">
      <alignment horizontal="center" vertical="center"/>
    </xf>
    <xf numFmtId="0" fontId="3" fillId="0" borderId="10" xfId="0" applyFont="1" applyBorder="1" applyAlignment="1">
      <alignment horizontal="right"/>
    </xf>
    <xf numFmtId="164" fontId="3" fillId="0" borderId="19" xfId="0" applyNumberFormat="1" applyFont="1" applyBorder="1"/>
    <xf numFmtId="164" fontId="3" fillId="0" borderId="18" xfId="0" applyNumberFormat="1" applyFont="1" applyBorder="1"/>
    <xf numFmtId="0" fontId="3" fillId="0" borderId="24" xfId="0" applyFont="1" applyBorder="1"/>
    <xf numFmtId="0" fontId="10" fillId="0" borderId="28" xfId="0" applyFont="1" applyBorder="1" applyAlignment="1">
      <alignment horizontal="center" vertical="center"/>
    </xf>
    <xf numFmtId="0" fontId="10" fillId="10" borderId="28" xfId="0" applyFont="1" applyFill="1" applyBorder="1" applyAlignment="1">
      <alignment horizontal="center" vertical="center"/>
    </xf>
    <xf numFmtId="0" fontId="10" fillId="9" borderId="28" xfId="0" applyFont="1" applyFill="1" applyBorder="1" applyAlignment="1">
      <alignment horizontal="center" vertical="center"/>
    </xf>
    <xf numFmtId="0" fontId="10" fillId="5" borderId="28" xfId="0" applyFont="1" applyFill="1" applyBorder="1" applyAlignment="1">
      <alignment horizontal="center" vertical="center"/>
    </xf>
    <xf numFmtId="0" fontId="10" fillId="0" borderId="29" xfId="0" applyFont="1" applyBorder="1" applyAlignment="1">
      <alignment horizontal="center" vertical="center"/>
    </xf>
    <xf numFmtId="0" fontId="3" fillId="0" borderId="30" xfId="0" applyFont="1" applyBorder="1" applyAlignment="1">
      <alignment horizontal="right"/>
    </xf>
    <xf numFmtId="164" fontId="3" fillId="0" borderId="26" xfId="0" applyNumberFormat="1" applyFont="1" applyBorder="1"/>
    <xf numFmtId="164" fontId="3" fillId="0" borderId="25" xfId="0" applyNumberFormat="1" applyFont="1" applyBorder="1"/>
    <xf numFmtId="0" fontId="3" fillId="0" borderId="31" xfId="0" applyFont="1" applyBorder="1"/>
    <xf numFmtId="0" fontId="10" fillId="4" borderId="28" xfId="0" applyFont="1" applyFill="1" applyBorder="1" applyAlignment="1">
      <alignment horizontal="center" vertical="center"/>
    </xf>
    <xf numFmtId="0" fontId="10" fillId="11" borderId="28" xfId="0" applyFont="1" applyFill="1" applyBorder="1" applyAlignment="1">
      <alignment horizontal="center" vertical="center"/>
    </xf>
    <xf numFmtId="0" fontId="10" fillId="11" borderId="29" xfId="0" applyFont="1" applyFill="1" applyBorder="1" applyAlignment="1">
      <alignment horizontal="center" vertical="center"/>
    </xf>
    <xf numFmtId="14" fontId="0" fillId="0" borderId="0" xfId="0" applyNumberFormat="1"/>
    <xf numFmtId="0" fontId="10" fillId="10" borderId="29" xfId="0" applyFont="1" applyFill="1" applyBorder="1" applyAlignment="1">
      <alignment horizontal="center" vertical="center"/>
    </xf>
    <xf numFmtId="164" fontId="3" fillId="0" borderId="32" xfId="0" applyNumberFormat="1" applyFont="1" applyBorder="1"/>
    <xf numFmtId="164" fontId="3" fillId="0" borderId="30" xfId="0" applyNumberFormat="1" applyFont="1" applyBorder="1"/>
    <xf numFmtId="166" fontId="2" fillId="0" borderId="34" xfId="0" applyNumberFormat="1" applyFont="1" applyBorder="1"/>
    <xf numFmtId="164" fontId="3" fillId="0" borderId="36" xfId="0" applyNumberFormat="1" applyFont="1" applyBorder="1"/>
    <xf numFmtId="164" fontId="3" fillId="0" borderId="35" xfId="0" applyNumberFormat="1" applyFont="1" applyBorder="1"/>
    <xf numFmtId="0" fontId="0" fillId="0" borderId="37" xfId="0" applyBorder="1"/>
    <xf numFmtId="166" fontId="2" fillId="0" borderId="37" xfId="0" applyNumberFormat="1" applyFont="1" applyBorder="1"/>
    <xf numFmtId="164" fontId="3" fillId="0" borderId="38" xfId="0" applyNumberFormat="1" applyFont="1" applyBorder="1"/>
    <xf numFmtId="164" fontId="3" fillId="0" borderId="39" xfId="0" applyNumberFormat="1" applyFont="1" applyBorder="1"/>
    <xf numFmtId="166" fontId="2" fillId="0" borderId="40" xfId="0" applyNumberFormat="1" applyFont="1" applyBorder="1"/>
    <xf numFmtId="0" fontId="10" fillId="10" borderId="42" xfId="0" applyFont="1" applyFill="1" applyBorder="1" applyAlignment="1">
      <alignment horizontal="center" vertical="center"/>
    </xf>
    <xf numFmtId="0" fontId="10" fillId="9" borderId="42" xfId="0" applyFont="1" applyFill="1" applyBorder="1" applyAlignment="1">
      <alignment horizontal="center" vertical="center"/>
    </xf>
    <xf numFmtId="0" fontId="10" fillId="10" borderId="43" xfId="0" applyFont="1" applyFill="1" applyBorder="1" applyAlignment="1">
      <alignment horizontal="center" vertical="center"/>
    </xf>
    <xf numFmtId="0" fontId="10" fillId="5" borderId="21" xfId="0" applyFont="1" applyFill="1" applyBorder="1" applyAlignment="1">
      <alignment horizontal="center" vertical="center"/>
    </xf>
    <xf numFmtId="0" fontId="10" fillId="5" borderId="46" xfId="0" applyFont="1" applyFill="1" applyBorder="1" applyAlignment="1">
      <alignment horizontal="center" vertical="center"/>
    </xf>
    <xf numFmtId="164" fontId="3" fillId="0" borderId="45" xfId="0" applyNumberFormat="1" applyFont="1" applyBorder="1"/>
    <xf numFmtId="164" fontId="3" fillId="0" borderId="44" xfId="0" applyNumberFormat="1" applyFont="1" applyBorder="1"/>
    <xf numFmtId="0" fontId="3" fillId="0" borderId="47" xfId="0" applyFont="1" applyBorder="1"/>
    <xf numFmtId="0" fontId="10" fillId="5" borderId="29" xfId="0" applyFont="1" applyFill="1" applyBorder="1" applyAlignment="1">
      <alignment horizontal="center" vertical="center"/>
    </xf>
    <xf numFmtId="44" fontId="3" fillId="0" borderId="36" xfId="0" applyNumberFormat="1" applyFont="1" applyBorder="1"/>
    <xf numFmtId="0" fontId="3" fillId="0" borderId="37" xfId="0" applyFont="1" applyBorder="1"/>
    <xf numFmtId="0" fontId="11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0" fillId="4" borderId="27" xfId="0" applyFont="1" applyFill="1" applyBorder="1" applyAlignment="1">
      <alignment horizontal="center" vertical="center"/>
    </xf>
    <xf numFmtId="0" fontId="10" fillId="0" borderId="42" xfId="0" applyFont="1" applyBorder="1" applyAlignment="1">
      <alignment horizontal="center" vertical="center"/>
    </xf>
    <xf numFmtId="0" fontId="10" fillId="4" borderId="42" xfId="0" applyFont="1" applyFill="1" applyBorder="1" applyAlignment="1">
      <alignment horizontal="center" vertical="center"/>
    </xf>
    <xf numFmtId="0" fontId="10" fillId="0" borderId="43" xfId="0" applyFont="1" applyBorder="1" applyAlignment="1">
      <alignment horizontal="center" vertical="center"/>
    </xf>
    <xf numFmtId="0" fontId="3" fillId="0" borderId="35" xfId="0" applyFont="1" applyBorder="1" applyAlignment="1">
      <alignment horizontal="right"/>
    </xf>
    <xf numFmtId="0" fontId="3" fillId="0" borderId="33" xfId="0" applyFont="1" applyBorder="1" applyAlignment="1">
      <alignment horizontal="right"/>
    </xf>
    <xf numFmtId="164" fontId="3" fillId="0" borderId="33" xfId="0" applyNumberFormat="1" applyFont="1" applyBorder="1"/>
    <xf numFmtId="166" fontId="2" fillId="0" borderId="49" xfId="0" applyNumberFormat="1" applyFont="1" applyBorder="1"/>
    <xf numFmtId="0" fontId="10" fillId="0" borderId="51" xfId="0" applyFont="1" applyBorder="1" applyAlignment="1">
      <alignment horizontal="center" vertical="center"/>
    </xf>
    <xf numFmtId="0" fontId="10" fillId="9" borderId="51" xfId="0" applyFont="1" applyFill="1" applyBorder="1" applyAlignment="1">
      <alignment horizontal="center" vertical="center"/>
    </xf>
    <xf numFmtId="0" fontId="10" fillId="0" borderId="52" xfId="0" applyFont="1" applyBorder="1" applyAlignment="1">
      <alignment horizontal="center" vertical="center"/>
    </xf>
    <xf numFmtId="164" fontId="3" fillId="0" borderId="50" xfId="0" applyNumberFormat="1" applyFont="1" applyBorder="1"/>
    <xf numFmtId="0" fontId="10" fillId="0" borderId="46" xfId="0" applyFont="1" applyBorder="1" applyAlignment="1">
      <alignment horizontal="center" vertical="center"/>
    </xf>
    <xf numFmtId="0" fontId="3" fillId="0" borderId="34" xfId="0" applyFont="1" applyBorder="1"/>
    <xf numFmtId="0" fontId="3" fillId="0" borderId="39" xfId="0" applyFont="1" applyBorder="1" applyAlignment="1">
      <alignment horizontal="right"/>
    </xf>
    <xf numFmtId="164" fontId="3" fillId="0" borderId="56" xfId="0" applyNumberFormat="1" applyFont="1" applyBorder="1"/>
    <xf numFmtId="166" fontId="2" fillId="0" borderId="57" xfId="0" applyNumberFormat="1" applyFont="1" applyBorder="1"/>
    <xf numFmtId="164" fontId="3" fillId="0" borderId="21" xfId="0" applyNumberFormat="1" applyFont="1" applyBorder="1"/>
    <xf numFmtId="0" fontId="0" fillId="0" borderId="58" xfId="0" applyBorder="1"/>
    <xf numFmtId="164" fontId="3" fillId="0" borderId="28" xfId="0" applyNumberFormat="1" applyFont="1" applyBorder="1"/>
    <xf numFmtId="164" fontId="3" fillId="0" borderId="51" xfId="0" applyNumberFormat="1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44" xfId="0" applyFont="1" applyBorder="1" applyAlignment="1">
      <alignment horizontal="left"/>
    </xf>
    <xf numFmtId="0" fontId="14" fillId="9" borderId="21" xfId="0" applyFont="1" applyFill="1" applyBorder="1" applyAlignment="1">
      <alignment horizontal="center" vertical="center"/>
    </xf>
    <xf numFmtId="0" fontId="14" fillId="9" borderId="20" xfId="0" applyFont="1" applyFill="1" applyBorder="1" applyAlignment="1">
      <alignment horizontal="center" vertical="center"/>
    </xf>
    <xf numFmtId="0" fontId="14" fillId="0" borderId="46" xfId="0" applyFont="1" applyBorder="1" applyAlignment="1">
      <alignment horizontal="center" vertical="center"/>
    </xf>
    <xf numFmtId="0" fontId="3" fillId="0" borderId="35" xfId="0" applyFont="1" applyBorder="1" applyAlignment="1">
      <alignment horizontal="left"/>
    </xf>
    <xf numFmtId="0" fontId="14" fillId="9" borderId="28" xfId="0" applyFont="1" applyFill="1" applyBorder="1" applyAlignment="1">
      <alignment horizontal="center" vertical="center"/>
    </xf>
    <xf numFmtId="0" fontId="14" fillId="9" borderId="27" xfId="0" applyFont="1" applyFill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14" fillId="0" borderId="43" xfId="0" applyFont="1" applyBorder="1" applyAlignment="1">
      <alignment horizontal="center" vertical="center"/>
    </xf>
    <xf numFmtId="0" fontId="3" fillId="0" borderId="14" xfId="0" applyFont="1" applyBorder="1" applyAlignment="1">
      <alignment horizontal="left"/>
    </xf>
    <xf numFmtId="0" fontId="14" fillId="9" borderId="9" xfId="0" applyFont="1" applyFill="1" applyBorder="1" applyAlignment="1">
      <alignment horizontal="center" vertical="center"/>
    </xf>
    <xf numFmtId="0" fontId="14" fillId="9" borderId="64" xfId="0" applyFont="1" applyFill="1" applyBorder="1" applyAlignment="1">
      <alignment horizontal="center" vertical="center"/>
    </xf>
    <xf numFmtId="0" fontId="14" fillId="0" borderId="65" xfId="0" applyFont="1" applyBorder="1" applyAlignment="1">
      <alignment horizontal="center" vertical="center"/>
    </xf>
    <xf numFmtId="0" fontId="3" fillId="12" borderId="50" xfId="0" applyFont="1" applyFill="1" applyBorder="1" applyAlignment="1">
      <alignment horizontal="left"/>
    </xf>
    <xf numFmtId="0" fontId="14" fillId="9" borderId="51" xfId="0" applyFont="1" applyFill="1" applyBorder="1" applyAlignment="1">
      <alignment horizontal="center" vertical="center"/>
    </xf>
    <xf numFmtId="0" fontId="14" fillId="9" borderId="41" xfId="0" applyFont="1" applyFill="1" applyBorder="1" applyAlignment="1">
      <alignment horizontal="center" vertical="center"/>
    </xf>
    <xf numFmtId="0" fontId="14" fillId="0" borderId="52" xfId="0" applyFont="1" applyBorder="1" applyAlignment="1">
      <alignment horizontal="center" vertical="center"/>
    </xf>
    <xf numFmtId="0" fontId="3" fillId="0" borderId="70" xfId="0" applyFont="1" applyBorder="1" applyAlignment="1">
      <alignment horizontal="left"/>
    </xf>
    <xf numFmtId="0" fontId="14" fillId="9" borderId="71" xfId="0" applyFont="1" applyFill="1" applyBorder="1" applyAlignment="1">
      <alignment horizontal="center" vertical="center"/>
    </xf>
    <xf numFmtId="0" fontId="10" fillId="0" borderId="71" xfId="0" applyFont="1" applyBorder="1" applyAlignment="1">
      <alignment horizontal="center" vertical="center"/>
    </xf>
    <xf numFmtId="0" fontId="14" fillId="9" borderId="72" xfId="0" applyFont="1" applyFill="1" applyBorder="1" applyAlignment="1">
      <alignment horizontal="center" vertical="center"/>
    </xf>
    <xf numFmtId="0" fontId="3" fillId="12" borderId="35" xfId="0" applyFont="1" applyFill="1" applyBorder="1" applyAlignment="1">
      <alignment horizontal="left"/>
    </xf>
    <xf numFmtId="0" fontId="3" fillId="0" borderId="50" xfId="0" applyFont="1" applyBorder="1" applyAlignment="1">
      <alignment horizontal="left"/>
    </xf>
    <xf numFmtId="0" fontId="3" fillId="0" borderId="10" xfId="0" applyFont="1" applyBorder="1" applyAlignment="1">
      <alignment horizontal="left"/>
    </xf>
    <xf numFmtId="0" fontId="14" fillId="4" borderId="9" xfId="0" applyFont="1" applyFill="1" applyBorder="1" applyAlignment="1">
      <alignment horizontal="center" vertical="center"/>
    </xf>
    <xf numFmtId="0" fontId="14" fillId="4" borderId="64" xfId="0" applyFont="1" applyFill="1" applyBorder="1" applyAlignment="1">
      <alignment horizontal="center" vertical="center"/>
    </xf>
    <xf numFmtId="0" fontId="14" fillId="4" borderId="22" xfId="0" applyFont="1" applyFill="1" applyBorder="1" applyAlignment="1">
      <alignment horizontal="center" vertical="center"/>
    </xf>
    <xf numFmtId="0" fontId="14" fillId="4" borderId="55" xfId="0" applyFont="1" applyFill="1" applyBorder="1" applyAlignment="1">
      <alignment horizontal="center" vertical="center"/>
    </xf>
    <xf numFmtId="0" fontId="14" fillId="4" borderId="27" xfId="0" applyFont="1" applyFill="1" applyBorder="1" applyAlignment="1">
      <alignment horizontal="center" vertical="center"/>
    </xf>
    <xf numFmtId="0" fontId="14" fillId="4" borderId="28" xfId="0" applyFont="1" applyFill="1" applyBorder="1" applyAlignment="1">
      <alignment horizontal="center" vertical="center"/>
    </xf>
    <xf numFmtId="0" fontId="3" fillId="0" borderId="25" xfId="0" applyFont="1" applyBorder="1" applyAlignment="1">
      <alignment horizontal="left"/>
    </xf>
    <xf numFmtId="0" fontId="14" fillId="4" borderId="42" xfId="0" applyFont="1" applyFill="1" applyBorder="1" applyAlignment="1">
      <alignment horizontal="center" vertical="center"/>
    </xf>
    <xf numFmtId="0" fontId="14" fillId="4" borderId="48" xfId="0" applyFont="1" applyFill="1" applyBorder="1" applyAlignment="1">
      <alignment horizontal="center" vertical="center"/>
    </xf>
    <xf numFmtId="0" fontId="13" fillId="0" borderId="44" xfId="0" applyFont="1" applyBorder="1" applyAlignment="1">
      <alignment horizontal="center"/>
    </xf>
    <xf numFmtId="0" fontId="3" fillId="0" borderId="30" xfId="0" applyFont="1" applyBorder="1" applyAlignment="1">
      <alignment horizontal="left"/>
    </xf>
    <xf numFmtId="0" fontId="3" fillId="0" borderId="68" xfId="0" applyFont="1" applyBorder="1" applyAlignment="1">
      <alignment horizontal="center"/>
    </xf>
    <xf numFmtId="0" fontId="3" fillId="0" borderId="53" xfId="0" applyFont="1" applyBorder="1" applyAlignment="1">
      <alignment horizontal="left"/>
    </xf>
    <xf numFmtId="0" fontId="3" fillId="0" borderId="6" xfId="0" applyFont="1" applyBorder="1"/>
    <xf numFmtId="0" fontId="3" fillId="0" borderId="7" xfId="0" applyFont="1" applyBorder="1" applyAlignment="1">
      <alignment horizontal="center"/>
    </xf>
    <xf numFmtId="0" fontId="0" fillId="0" borderId="68" xfId="0" applyBorder="1"/>
    <xf numFmtId="0" fontId="3" fillId="0" borderId="67" xfId="0" applyFont="1" applyBorder="1" applyAlignment="1">
      <alignment horizontal="center"/>
    </xf>
    <xf numFmtId="0" fontId="14" fillId="4" borderId="71" xfId="0" applyFont="1" applyFill="1" applyBorder="1" applyAlignment="1">
      <alignment horizontal="left" vertical="center"/>
    </xf>
    <xf numFmtId="164" fontId="3" fillId="0" borderId="0" xfId="0" applyNumberFormat="1" applyFont="1" applyBorder="1"/>
    <xf numFmtId="0" fontId="3" fillId="0" borderId="63" xfId="0" applyFont="1" applyBorder="1" applyAlignment="1">
      <alignment horizontal="right"/>
    </xf>
    <xf numFmtId="0" fontId="2" fillId="0" borderId="14" xfId="0" applyFont="1" applyBorder="1" applyAlignment="1">
      <alignment horizontal="right"/>
    </xf>
    <xf numFmtId="0" fontId="3" fillId="0" borderId="62" xfId="0" applyFont="1" applyBorder="1" applyAlignment="1">
      <alignment horizontal="right"/>
    </xf>
    <xf numFmtId="0" fontId="3" fillId="0" borderId="69" xfId="0" applyFont="1" applyBorder="1" applyAlignment="1">
      <alignment horizontal="right"/>
    </xf>
    <xf numFmtId="0" fontId="5" fillId="0" borderId="8" xfId="0" applyFont="1" applyBorder="1" applyAlignment="1">
      <alignment horizontal="center"/>
    </xf>
    <xf numFmtId="0" fontId="5" fillId="8" borderId="10" xfId="0" applyFont="1" applyFill="1" applyBorder="1" applyAlignment="1">
      <alignment horizontal="center"/>
    </xf>
    <xf numFmtId="0" fontId="13" fillId="0" borderId="35" xfId="0" applyFont="1" applyBorder="1" applyAlignment="1">
      <alignment horizontal="center"/>
    </xf>
    <xf numFmtId="0" fontId="0" fillId="4" borderId="28" xfId="0" applyFill="1" applyBorder="1"/>
    <xf numFmtId="0" fontId="13" fillId="0" borderId="50" xfId="0" applyFont="1" applyBorder="1" applyAlignment="1">
      <alignment horizontal="center"/>
    </xf>
    <xf numFmtId="0" fontId="14" fillId="4" borderId="72" xfId="0" applyFont="1" applyFill="1" applyBorder="1" applyAlignment="1">
      <alignment horizontal="left" vertical="center"/>
    </xf>
    <xf numFmtId="0" fontId="13" fillId="0" borderId="14" xfId="0" applyFont="1" applyBorder="1" applyAlignment="1">
      <alignment horizontal="center"/>
    </xf>
    <xf numFmtId="0" fontId="0" fillId="0" borderId="44" xfId="0" applyBorder="1"/>
    <xf numFmtId="0" fontId="0" fillId="0" borderId="35" xfId="0" applyBorder="1"/>
    <xf numFmtId="0" fontId="0" fillId="0" borderId="50" xfId="0" applyBorder="1"/>
    <xf numFmtId="0" fontId="0" fillId="0" borderId="70" xfId="0" applyBorder="1"/>
    <xf numFmtId="0" fontId="3" fillId="0" borderId="21" xfId="0" applyFont="1" applyBorder="1" applyAlignment="1">
      <alignment horizontal="center"/>
    </xf>
    <xf numFmtId="0" fontId="14" fillId="9" borderId="55" xfId="0" applyFont="1" applyFill="1" applyBorder="1" applyAlignment="1">
      <alignment horizontal="center" vertical="center"/>
    </xf>
    <xf numFmtId="0" fontId="14" fillId="0" borderId="23" xfId="0" applyFont="1" applyBorder="1" applyAlignment="1">
      <alignment horizontal="center" vertical="center"/>
    </xf>
    <xf numFmtId="0" fontId="14" fillId="9" borderId="22" xfId="0" applyFont="1" applyFill="1" applyBorder="1" applyAlignment="1">
      <alignment horizontal="center" vertical="center"/>
    </xf>
    <xf numFmtId="0" fontId="13" fillId="0" borderId="10" xfId="0" applyFont="1" applyBorder="1" applyAlignment="1">
      <alignment horizontal="center"/>
    </xf>
    <xf numFmtId="0" fontId="13" fillId="12" borderId="50" xfId="0" applyFont="1" applyFill="1" applyBorder="1" applyAlignment="1">
      <alignment horizontal="center"/>
    </xf>
    <xf numFmtId="0" fontId="3" fillId="0" borderId="70" xfId="0" applyFont="1" applyBorder="1" applyAlignment="1">
      <alignment horizontal="center"/>
    </xf>
    <xf numFmtId="0" fontId="3" fillId="12" borderId="35" xfId="0" applyFont="1" applyFill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" fillId="0" borderId="73" xfId="0" applyFont="1" applyBorder="1" applyAlignment="1">
      <alignment horizontal="center"/>
    </xf>
    <xf numFmtId="0" fontId="8" fillId="0" borderId="25" xfId="0" applyFont="1" applyFill="1" applyBorder="1" applyAlignment="1">
      <alignment horizontal="center"/>
    </xf>
    <xf numFmtId="2" fontId="2" fillId="0" borderId="8" xfId="0" applyNumberFormat="1" applyFont="1" applyBorder="1" applyAlignment="1">
      <alignment horizontal="right"/>
    </xf>
    <xf numFmtId="0" fontId="10" fillId="0" borderId="74" xfId="0" applyFont="1" applyBorder="1" applyAlignment="1">
      <alignment horizontal="center" vertical="center"/>
    </xf>
    <xf numFmtId="0" fontId="0" fillId="0" borderId="14" xfId="0" applyBorder="1"/>
    <xf numFmtId="0" fontId="3" fillId="0" borderId="58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10" fillId="0" borderId="29" xfId="0" applyFont="1" applyFill="1" applyBorder="1" applyAlignment="1">
      <alignment horizontal="center" vertical="center"/>
    </xf>
    <xf numFmtId="0" fontId="10" fillId="0" borderId="52" xfId="0" applyFont="1" applyFill="1" applyBorder="1" applyAlignment="1">
      <alignment horizontal="center" vertical="center"/>
    </xf>
    <xf numFmtId="0" fontId="3" fillId="0" borderId="14" xfId="0" applyFont="1" applyBorder="1" applyAlignment="1">
      <alignment vertical="center"/>
    </xf>
    <xf numFmtId="0" fontId="9" fillId="12" borderId="35" xfId="0" applyFont="1" applyFill="1" applyBorder="1" applyAlignment="1">
      <alignment horizontal="center"/>
    </xf>
    <xf numFmtId="0" fontId="9" fillId="12" borderId="35" xfId="0" applyFont="1" applyFill="1" applyBorder="1" applyAlignment="1">
      <alignment horizontal="left"/>
    </xf>
    <xf numFmtId="0" fontId="3" fillId="12" borderId="10" xfId="0" applyFont="1" applyFill="1" applyBorder="1" applyAlignment="1">
      <alignment horizontal="center"/>
    </xf>
    <xf numFmtId="0" fontId="3" fillId="12" borderId="10" xfId="0" applyFont="1" applyFill="1" applyBorder="1" applyAlignment="1">
      <alignment horizontal="left"/>
    </xf>
    <xf numFmtId="0" fontId="3" fillId="12" borderId="44" xfId="0" applyFont="1" applyFill="1" applyBorder="1" applyAlignment="1">
      <alignment horizontal="center"/>
    </xf>
    <xf numFmtId="0" fontId="3" fillId="12" borderId="50" xfId="0" applyFont="1" applyFill="1" applyBorder="1" applyAlignment="1">
      <alignment horizontal="center"/>
    </xf>
    <xf numFmtId="0" fontId="0" fillId="0" borderId="10" xfId="0" applyBorder="1"/>
    <xf numFmtId="0" fontId="10" fillId="0" borderId="28" xfId="0" applyFont="1" applyFill="1" applyBorder="1" applyAlignment="1">
      <alignment horizontal="center" vertical="center"/>
    </xf>
    <xf numFmtId="0" fontId="10" fillId="0" borderId="21" xfId="0" applyFont="1" applyFill="1" applyBorder="1" applyAlignment="1">
      <alignment horizontal="center" vertical="center"/>
    </xf>
    <xf numFmtId="0" fontId="14" fillId="4" borderId="64" xfId="0" applyFont="1" applyFill="1" applyBorder="1" applyAlignment="1">
      <alignment horizontal="left" vertical="center"/>
    </xf>
    <xf numFmtId="0" fontId="14" fillId="4" borderId="9" xfId="0" applyFont="1" applyFill="1" applyBorder="1" applyAlignment="1">
      <alignment horizontal="left" vertical="center"/>
    </xf>
    <xf numFmtId="0" fontId="8" fillId="0" borderId="35" xfId="0" applyFont="1" applyFill="1" applyBorder="1" applyAlignment="1">
      <alignment horizontal="center"/>
    </xf>
    <xf numFmtId="0" fontId="8" fillId="0" borderId="50" xfId="0" applyFont="1" applyFill="1" applyBorder="1" applyAlignment="1">
      <alignment horizontal="center"/>
    </xf>
    <xf numFmtId="0" fontId="8" fillId="0" borderId="39" xfId="0" applyFont="1" applyFill="1" applyBorder="1" applyAlignment="1">
      <alignment horizontal="center"/>
    </xf>
    <xf numFmtId="0" fontId="8" fillId="0" borderId="30" xfId="0" applyFont="1" applyFill="1" applyBorder="1" applyAlignment="1">
      <alignment horizontal="center"/>
    </xf>
    <xf numFmtId="0" fontId="15" fillId="6" borderId="0" xfId="0" applyFont="1" applyFill="1" applyBorder="1" applyAlignment="1">
      <alignment horizontal="center" vertical="center"/>
    </xf>
    <xf numFmtId="0" fontId="3" fillId="5" borderId="73" xfId="0" applyFont="1" applyFill="1" applyBorder="1" applyAlignment="1">
      <alignment horizontal="center"/>
    </xf>
    <xf numFmtId="0" fontId="3" fillId="5" borderId="73" xfId="0" applyFont="1" applyFill="1" applyBorder="1" applyAlignment="1">
      <alignment horizontal="left"/>
    </xf>
    <xf numFmtId="0" fontId="10" fillId="9" borderId="71" xfId="0" applyFont="1" applyFill="1" applyBorder="1" applyAlignment="1">
      <alignment horizontal="center" vertical="center"/>
    </xf>
    <xf numFmtId="0" fontId="10" fillId="0" borderId="51" xfId="0" applyFont="1" applyFill="1" applyBorder="1" applyAlignment="1">
      <alignment horizontal="center" vertical="center"/>
    </xf>
    <xf numFmtId="0" fontId="3" fillId="0" borderId="53" xfId="0" applyFont="1" applyBorder="1" applyAlignment="1">
      <alignment horizontal="right"/>
    </xf>
    <xf numFmtId="0" fontId="10" fillId="0" borderId="71" xfId="0" applyFont="1" applyFill="1" applyBorder="1" applyAlignment="1">
      <alignment horizontal="center" vertical="center"/>
    </xf>
    <xf numFmtId="164" fontId="3" fillId="0" borderId="76" xfId="0" applyNumberFormat="1" applyFont="1" applyBorder="1"/>
    <xf numFmtId="164" fontId="3" fillId="0" borderId="73" xfId="0" applyNumberFormat="1" applyFont="1" applyBorder="1"/>
    <xf numFmtId="0" fontId="3" fillId="0" borderId="77" xfId="0" applyFont="1" applyBorder="1"/>
    <xf numFmtId="0" fontId="3" fillId="0" borderId="17" xfId="0" applyFont="1" applyBorder="1" applyAlignment="1">
      <alignment horizontal="right"/>
    </xf>
    <xf numFmtId="164" fontId="3" fillId="0" borderId="68" xfId="0" applyNumberFormat="1" applyFont="1" applyBorder="1"/>
    <xf numFmtId="165" fontId="6" fillId="0" borderId="65" xfId="0" applyNumberFormat="1" applyFont="1" applyBorder="1" applyAlignment="1">
      <alignment horizontal="center" textRotation="90"/>
    </xf>
    <xf numFmtId="0" fontId="10" fillId="0" borderId="46" xfId="0" applyFont="1" applyFill="1" applyBorder="1" applyAlignment="1">
      <alignment horizontal="center" vertical="center"/>
    </xf>
    <xf numFmtId="0" fontId="10" fillId="0" borderId="74" xfId="0" applyFont="1" applyFill="1" applyBorder="1" applyAlignment="1">
      <alignment horizontal="center" vertical="center"/>
    </xf>
    <xf numFmtId="0" fontId="3" fillId="0" borderId="75" xfId="0" applyFont="1" applyBorder="1"/>
    <xf numFmtId="0" fontId="3" fillId="0" borderId="78" xfId="0" applyFont="1" applyBorder="1"/>
    <xf numFmtId="0" fontId="0" fillId="0" borderId="64" xfId="0" applyBorder="1" applyAlignment="1">
      <alignment horizontal="center"/>
    </xf>
    <xf numFmtId="0" fontId="0" fillId="0" borderId="65" xfId="0" applyBorder="1" applyAlignment="1">
      <alignment horizontal="center"/>
    </xf>
    <xf numFmtId="0" fontId="0" fillId="0" borderId="47" xfId="0" applyBorder="1"/>
    <xf numFmtId="166" fontId="2" fillId="0" borderId="47" xfId="0" applyNumberFormat="1" applyFont="1" applyBorder="1"/>
    <xf numFmtId="164" fontId="3" fillId="0" borderId="59" xfId="0" applyNumberFormat="1" applyFont="1" applyBorder="1"/>
    <xf numFmtId="164" fontId="3" fillId="0" borderId="58" xfId="0" applyNumberFormat="1" applyFont="1" applyBorder="1"/>
    <xf numFmtId="164" fontId="3" fillId="0" borderId="60" xfId="0" applyNumberFormat="1" applyFont="1" applyBorder="1"/>
    <xf numFmtId="0" fontId="8" fillId="0" borderId="44" xfId="0" applyFont="1" applyFill="1" applyBorder="1" applyAlignment="1">
      <alignment horizontal="center"/>
    </xf>
    <xf numFmtId="0" fontId="8" fillId="0" borderId="14" xfId="0" applyFont="1" applyFill="1" applyBorder="1" applyAlignment="1">
      <alignment horizontal="center"/>
    </xf>
    <xf numFmtId="164" fontId="2" fillId="0" borderId="57" xfId="0" applyNumberFormat="1" applyFont="1" applyBorder="1"/>
    <xf numFmtId="0" fontId="10" fillId="0" borderId="9" xfId="0" applyFont="1" applyBorder="1" applyAlignment="1">
      <alignment horizontal="center" vertical="center"/>
    </xf>
    <xf numFmtId="0" fontId="10" fillId="9" borderId="9" xfId="0" applyFont="1" applyFill="1" applyBorder="1" applyAlignment="1">
      <alignment horizontal="center" vertical="center"/>
    </xf>
    <xf numFmtId="0" fontId="10" fillId="0" borderId="65" xfId="0" applyFont="1" applyBorder="1" applyAlignment="1">
      <alignment horizontal="center" vertical="center"/>
    </xf>
    <xf numFmtId="166" fontId="2" fillId="0" borderId="8" xfId="0" applyNumberFormat="1" applyFont="1" applyBorder="1"/>
    <xf numFmtId="0" fontId="0" fillId="5" borderId="0" xfId="0" applyFill="1" applyBorder="1"/>
    <xf numFmtId="0" fontId="14" fillId="4" borderId="75" xfId="0" applyFont="1" applyFill="1" applyBorder="1" applyAlignment="1">
      <alignment horizontal="left" vertical="center"/>
    </xf>
    <xf numFmtId="0" fontId="14" fillId="4" borderId="78" xfId="0" applyFont="1" applyFill="1" applyBorder="1" applyAlignment="1">
      <alignment horizontal="left" vertical="center"/>
    </xf>
    <xf numFmtId="0" fontId="3" fillId="0" borderId="66" xfId="0" applyFont="1" applyBorder="1" applyAlignment="1">
      <alignment horizontal="right"/>
    </xf>
    <xf numFmtId="164" fontId="3" fillId="0" borderId="15" xfId="0" applyNumberFormat="1" applyFont="1" applyBorder="1"/>
    <xf numFmtId="166" fontId="2" fillId="0" borderId="15" xfId="0" applyNumberFormat="1" applyFont="1" applyBorder="1"/>
    <xf numFmtId="0" fontId="8" fillId="0" borderId="70" xfId="0" applyFont="1" applyFill="1" applyBorder="1" applyAlignment="1">
      <alignment horizontal="center"/>
    </xf>
    <xf numFmtId="0" fontId="3" fillId="0" borderId="70" xfId="0" applyFont="1" applyBorder="1" applyAlignment="1">
      <alignment horizontal="right"/>
    </xf>
    <xf numFmtId="164" fontId="3" fillId="0" borderId="80" xfId="0" applyNumberFormat="1" applyFont="1" applyBorder="1"/>
    <xf numFmtId="164" fontId="3" fillId="0" borderId="70" xfId="0" applyNumberFormat="1" applyFont="1" applyBorder="1"/>
    <xf numFmtId="0" fontId="3" fillId="0" borderId="79" xfId="0" applyFont="1" applyBorder="1"/>
    <xf numFmtId="0" fontId="3" fillId="0" borderId="14" xfId="0" applyFont="1" applyBorder="1" applyAlignment="1">
      <alignment horizontal="right"/>
    </xf>
    <xf numFmtId="164" fontId="3" fillId="0" borderId="7" xfId="0" applyNumberFormat="1" applyFont="1" applyBorder="1"/>
    <xf numFmtId="164" fontId="3" fillId="0" borderId="14" xfId="0" applyNumberFormat="1" applyFont="1" applyBorder="1"/>
    <xf numFmtId="0" fontId="8" fillId="0" borderId="18" xfId="0" applyFont="1" applyFill="1" applyBorder="1" applyAlignment="1">
      <alignment horizontal="center"/>
    </xf>
    <xf numFmtId="0" fontId="8" fillId="0" borderId="33" xfId="0" applyFont="1" applyFill="1" applyBorder="1" applyAlignment="1">
      <alignment horizontal="center"/>
    </xf>
    <xf numFmtId="0" fontId="8" fillId="0" borderId="17" xfId="0" applyFont="1" applyFill="1" applyBorder="1" applyAlignment="1">
      <alignment horizontal="center"/>
    </xf>
    <xf numFmtId="0" fontId="8" fillId="12" borderId="25" xfId="0" applyFont="1" applyFill="1" applyBorder="1" applyAlignment="1">
      <alignment horizontal="center"/>
    </xf>
    <xf numFmtId="0" fontId="8" fillId="12" borderId="44" xfId="0" applyFont="1" applyFill="1" applyBorder="1" applyAlignment="1">
      <alignment horizontal="center"/>
    </xf>
    <xf numFmtId="0" fontId="8" fillId="12" borderId="73" xfId="0" applyFont="1" applyFill="1" applyBorder="1" applyAlignment="1">
      <alignment horizontal="center"/>
    </xf>
    <xf numFmtId="0" fontId="8" fillId="12" borderId="35" xfId="0" applyFont="1" applyFill="1" applyBorder="1" applyAlignment="1">
      <alignment horizontal="center"/>
    </xf>
    <xf numFmtId="0" fontId="8" fillId="12" borderId="17" xfId="0" applyFont="1" applyFill="1" applyBorder="1" applyAlignment="1">
      <alignment horizontal="center"/>
    </xf>
    <xf numFmtId="0" fontId="10" fillId="0" borderId="20" xfId="0" applyFont="1" applyFill="1" applyBorder="1" applyAlignment="1">
      <alignment horizontal="center" vertical="center"/>
    </xf>
    <xf numFmtId="0" fontId="10" fillId="0" borderId="27" xfId="0" applyFont="1" applyBorder="1" applyAlignment="1">
      <alignment horizontal="center" vertical="center"/>
    </xf>
    <xf numFmtId="0" fontId="10" fillId="5" borderId="27" xfId="0" applyFont="1" applyFill="1" applyBorder="1" applyAlignment="1">
      <alignment horizontal="center" vertical="center"/>
    </xf>
    <xf numFmtId="0" fontId="10" fillId="11" borderId="27" xfId="0" applyFont="1" applyFill="1" applyBorder="1" applyAlignment="1">
      <alignment horizontal="center" vertical="center"/>
    </xf>
    <xf numFmtId="0" fontId="10" fillId="10" borderId="27" xfId="0" applyFont="1" applyFill="1" applyBorder="1" applyAlignment="1">
      <alignment horizontal="center" vertical="center"/>
    </xf>
    <xf numFmtId="0" fontId="10" fillId="0" borderId="41" xfId="0" applyFont="1" applyFill="1" applyBorder="1" applyAlignment="1">
      <alignment horizontal="center" vertical="center"/>
    </xf>
    <xf numFmtId="0" fontId="10" fillId="5" borderId="20" xfId="0" applyFont="1" applyFill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0" fontId="10" fillId="0" borderId="27" xfId="0" applyFont="1" applyFill="1" applyBorder="1" applyAlignment="1">
      <alignment horizontal="center" vertical="center"/>
    </xf>
    <xf numFmtId="0" fontId="10" fillId="0" borderId="41" xfId="0" applyFont="1" applyBorder="1" applyAlignment="1">
      <alignment horizontal="center" vertical="center"/>
    </xf>
    <xf numFmtId="0" fontId="10" fillId="0" borderId="72" xfId="0" applyFont="1" applyFill="1" applyBorder="1" applyAlignment="1">
      <alignment horizontal="center" vertical="center"/>
    </xf>
    <xf numFmtId="0" fontId="10" fillId="0" borderId="48" xfId="0" applyFont="1" applyBorder="1" applyAlignment="1">
      <alignment horizontal="center" vertical="center"/>
    </xf>
    <xf numFmtId="0" fontId="10" fillId="0" borderId="64" xfId="0" applyFont="1" applyBorder="1" applyAlignment="1">
      <alignment horizontal="center" vertical="center"/>
    </xf>
    <xf numFmtId="0" fontId="10" fillId="0" borderId="72" xfId="0" applyFont="1" applyBorder="1" applyAlignment="1">
      <alignment horizontal="center" vertical="center"/>
    </xf>
    <xf numFmtId="0" fontId="10" fillId="10" borderId="48" xfId="0" applyFont="1" applyFill="1" applyBorder="1" applyAlignment="1">
      <alignment horizontal="center" vertical="center"/>
    </xf>
    <xf numFmtId="0" fontId="10" fillId="0" borderId="20" xfId="0" applyFont="1" applyBorder="1" applyAlignment="1">
      <alignment horizontal="center" vertical="center"/>
    </xf>
    <xf numFmtId="0" fontId="9" fillId="0" borderId="18" xfId="0" applyFont="1" applyFill="1" applyBorder="1" applyAlignment="1">
      <alignment horizontal="left"/>
    </xf>
    <xf numFmtId="0" fontId="9" fillId="12" borderId="25" xfId="0" applyFont="1" applyFill="1" applyBorder="1" applyAlignment="1">
      <alignment horizontal="left"/>
    </xf>
    <xf numFmtId="0" fontId="9" fillId="0" borderId="25" xfId="0" applyFont="1" applyFill="1" applyBorder="1" applyAlignment="1">
      <alignment horizontal="left"/>
    </xf>
    <xf numFmtId="0" fontId="9" fillId="0" borderId="30" xfId="0" applyFont="1" applyFill="1" applyBorder="1" applyAlignment="1">
      <alignment horizontal="left"/>
    </xf>
    <xf numFmtId="0" fontId="9" fillId="0" borderId="35" xfId="0" applyFont="1" applyFill="1" applyBorder="1" applyAlignment="1">
      <alignment horizontal="left"/>
    </xf>
    <xf numFmtId="0" fontId="9" fillId="0" borderId="17" xfId="0" applyFont="1" applyFill="1" applyBorder="1" applyAlignment="1">
      <alignment horizontal="left"/>
    </xf>
    <xf numFmtId="0" fontId="9" fillId="12" borderId="44" xfId="0" applyFont="1" applyFill="1" applyBorder="1" applyAlignment="1">
      <alignment horizontal="left"/>
    </xf>
    <xf numFmtId="0" fontId="9" fillId="0" borderId="50" xfId="0" applyFont="1" applyFill="1" applyBorder="1" applyAlignment="1">
      <alignment horizontal="left"/>
    </xf>
    <xf numFmtId="0" fontId="9" fillId="12" borderId="73" xfId="0" applyFont="1" applyFill="1" applyBorder="1" applyAlignment="1">
      <alignment horizontal="left"/>
    </xf>
    <xf numFmtId="0" fontId="9" fillId="0" borderId="14" xfId="0" applyFont="1" applyFill="1" applyBorder="1" applyAlignment="1">
      <alignment horizontal="left"/>
    </xf>
    <xf numFmtId="0" fontId="9" fillId="0" borderId="70" xfId="0" applyFont="1" applyFill="1" applyBorder="1" applyAlignment="1">
      <alignment horizontal="left"/>
    </xf>
    <xf numFmtId="0" fontId="9" fillId="0" borderId="39" xfId="0" applyFont="1" applyFill="1" applyBorder="1" applyAlignment="1">
      <alignment horizontal="left"/>
    </xf>
    <xf numFmtId="0" fontId="9" fillId="0" borderId="44" xfId="0" applyFont="1" applyFill="1" applyBorder="1" applyAlignment="1">
      <alignment horizontal="left"/>
    </xf>
    <xf numFmtId="0" fontId="9" fillId="12" borderId="17" xfId="0" applyFont="1" applyFill="1" applyBorder="1" applyAlignment="1">
      <alignment horizontal="left"/>
    </xf>
    <xf numFmtId="164" fontId="3" fillId="2" borderId="5" xfId="0" applyNumberFormat="1" applyFont="1" applyFill="1" applyBorder="1" applyAlignment="1">
      <alignment horizontal="center"/>
    </xf>
    <xf numFmtId="0" fontId="5" fillId="8" borderId="12" xfId="0" applyFont="1" applyFill="1" applyBorder="1" applyAlignment="1">
      <alignment horizontal="center"/>
    </xf>
    <xf numFmtId="0" fontId="3" fillId="0" borderId="33" xfId="0" applyFont="1" applyBorder="1" applyAlignment="1">
      <alignment horizontal="center"/>
    </xf>
    <xf numFmtId="0" fontId="3" fillId="2" borderId="4" xfId="0" applyNumberFormat="1" applyFont="1" applyFill="1" applyBorder="1"/>
    <xf numFmtId="0" fontId="5" fillId="8" borderId="13" xfId="0" applyNumberFormat="1" applyFont="1" applyFill="1" applyBorder="1"/>
    <xf numFmtId="0" fontId="7" fillId="0" borderId="18" xfId="0" applyNumberFormat="1" applyFont="1" applyFill="1" applyBorder="1" applyAlignment="1">
      <alignment horizontal="left"/>
    </xf>
    <xf numFmtId="0" fontId="7" fillId="12" borderId="25" xfId="0" applyNumberFormat="1" applyFont="1" applyFill="1" applyBorder="1" applyAlignment="1">
      <alignment horizontal="left"/>
    </xf>
    <xf numFmtId="0" fontId="7" fillId="0" borderId="25" xfId="0" applyNumberFormat="1" applyFont="1" applyFill="1" applyBorder="1" applyAlignment="1">
      <alignment horizontal="left"/>
    </xf>
    <xf numFmtId="0" fontId="7" fillId="0" borderId="30" xfId="0" applyNumberFormat="1" applyFont="1" applyFill="1" applyBorder="1" applyAlignment="1">
      <alignment horizontal="left"/>
    </xf>
    <xf numFmtId="0" fontId="7" fillId="0" borderId="33" xfId="0" applyNumberFormat="1" applyFont="1" applyFill="1" applyBorder="1" applyAlignment="1">
      <alignment horizontal="left"/>
    </xf>
    <xf numFmtId="0" fontId="7" fillId="12" borderId="25" xfId="0" quotePrefix="1" applyNumberFormat="1" applyFont="1" applyFill="1" applyBorder="1" applyAlignment="1">
      <alignment horizontal="left"/>
    </xf>
    <xf numFmtId="0" fontId="7" fillId="0" borderId="30" xfId="0" quotePrefix="1" applyNumberFormat="1" applyFont="1" applyFill="1" applyBorder="1" applyAlignment="1">
      <alignment horizontal="left"/>
    </xf>
    <xf numFmtId="0" fontId="7" fillId="0" borderId="35" xfId="0" quotePrefix="1" applyNumberFormat="1" applyFont="1" applyFill="1" applyBorder="1" applyAlignment="1">
      <alignment horizontal="left"/>
    </xf>
    <xf numFmtId="0" fontId="7" fillId="0" borderId="17" xfId="0" quotePrefix="1" applyNumberFormat="1" applyFont="1" applyFill="1" applyBorder="1" applyAlignment="1">
      <alignment horizontal="left"/>
    </xf>
    <xf numFmtId="0" fontId="7" fillId="12" borderId="44" xfId="0" applyNumberFormat="1" applyFont="1" applyFill="1" applyBorder="1" applyAlignment="1">
      <alignment horizontal="left"/>
    </xf>
    <xf numFmtId="0" fontId="7" fillId="0" borderId="35" xfId="0" applyNumberFormat="1" applyFont="1" applyFill="1" applyBorder="1" applyAlignment="1">
      <alignment horizontal="left"/>
    </xf>
    <xf numFmtId="0" fontId="7" fillId="0" borderId="50" xfId="0" quotePrefix="1" applyNumberFormat="1" applyFont="1" applyFill="1" applyBorder="1" applyAlignment="1">
      <alignment horizontal="left"/>
    </xf>
    <xf numFmtId="0" fontId="7" fillId="12" borderId="73" xfId="0" applyNumberFormat="1" applyFont="1" applyFill="1" applyBorder="1" applyAlignment="1">
      <alignment horizontal="left"/>
    </xf>
    <xf numFmtId="0" fontId="7" fillId="0" borderId="14" xfId="0" applyNumberFormat="1" applyFont="1" applyFill="1" applyBorder="1" applyAlignment="1">
      <alignment horizontal="left"/>
    </xf>
    <xf numFmtId="0" fontId="7" fillId="0" borderId="70" xfId="0" applyNumberFormat="1" applyFont="1" applyFill="1" applyBorder="1" applyAlignment="1">
      <alignment horizontal="left"/>
    </xf>
    <xf numFmtId="0" fontId="7" fillId="12" borderId="35" xfId="0" applyNumberFormat="1" applyFont="1" applyFill="1" applyBorder="1" applyAlignment="1">
      <alignment horizontal="left"/>
    </xf>
    <xf numFmtId="0" fontId="7" fillId="12" borderId="35" xfId="0" quotePrefix="1" applyNumberFormat="1" applyFont="1" applyFill="1" applyBorder="1" applyAlignment="1">
      <alignment horizontal="left"/>
    </xf>
    <xf numFmtId="0" fontId="7" fillId="0" borderId="39" xfId="0" quotePrefix="1" applyNumberFormat="1" applyFont="1" applyFill="1" applyBorder="1" applyAlignment="1">
      <alignment horizontal="left"/>
    </xf>
    <xf numFmtId="0" fontId="7" fillId="0" borderId="44" xfId="0" applyNumberFormat="1" applyFont="1" applyFill="1" applyBorder="1" applyAlignment="1">
      <alignment horizontal="left"/>
    </xf>
    <xf numFmtId="0" fontId="7" fillId="12" borderId="17" xfId="0" quotePrefix="1" applyNumberFormat="1" applyFont="1" applyFill="1" applyBorder="1" applyAlignment="1">
      <alignment horizontal="left"/>
    </xf>
    <xf numFmtId="0" fontId="3" fillId="0" borderId="0" xfId="0" applyNumberFormat="1" applyFont="1"/>
    <xf numFmtId="0" fontId="0" fillId="0" borderId="0" xfId="0" applyNumberFormat="1"/>
    <xf numFmtId="0" fontId="5" fillId="0" borderId="44" xfId="0" applyNumberFormat="1" applyFont="1" applyBorder="1" applyAlignment="1">
      <alignment horizontal="left"/>
    </xf>
    <xf numFmtId="0" fontId="5" fillId="0" borderId="35" xfId="0" applyNumberFormat="1" applyFont="1" applyBorder="1" applyAlignment="1">
      <alignment horizontal="left"/>
    </xf>
    <xf numFmtId="0" fontId="5" fillId="0" borderId="50" xfId="0" applyNumberFormat="1" applyFont="1" applyBorder="1" applyAlignment="1">
      <alignment horizontal="left"/>
    </xf>
    <xf numFmtId="0" fontId="5" fillId="0" borderId="14" xfId="0" applyNumberFormat="1" applyFont="1" applyBorder="1" applyAlignment="1">
      <alignment horizontal="left"/>
    </xf>
    <xf numFmtId="0" fontId="5" fillId="0" borderId="10" xfId="0" applyNumberFormat="1" applyFont="1" applyBorder="1" applyAlignment="1">
      <alignment horizontal="left"/>
    </xf>
    <xf numFmtId="0" fontId="5" fillId="12" borderId="50" xfId="0" applyNumberFormat="1" applyFont="1" applyFill="1" applyBorder="1" applyAlignment="1">
      <alignment horizontal="left"/>
    </xf>
    <xf numFmtId="0" fontId="5" fillId="0" borderId="70" xfId="0" applyNumberFormat="1" applyFont="1" applyBorder="1" applyAlignment="1">
      <alignment horizontal="left"/>
    </xf>
    <xf numFmtId="0" fontId="5" fillId="12" borderId="35" xfId="0" applyNumberFormat="1" applyFont="1" applyFill="1" applyBorder="1" applyAlignment="1">
      <alignment horizontal="left"/>
    </xf>
    <xf numFmtId="0" fontId="5" fillId="12" borderId="14" xfId="0" applyNumberFormat="1" applyFont="1" applyFill="1" applyBorder="1" applyAlignment="1">
      <alignment horizontal="left"/>
    </xf>
    <xf numFmtId="0" fontId="5" fillId="12" borderId="10" xfId="0" applyNumberFormat="1" applyFont="1" applyFill="1" applyBorder="1" applyAlignment="1">
      <alignment horizontal="left"/>
    </xf>
    <xf numFmtId="0" fontId="12" fillId="0" borderId="14" xfId="0" applyNumberFormat="1" applyFont="1" applyBorder="1" applyAlignment="1">
      <alignment horizontal="left"/>
    </xf>
    <xf numFmtId="0" fontId="5" fillId="5" borderId="73" xfId="0" applyNumberFormat="1" applyFont="1" applyFill="1" applyBorder="1" applyAlignment="1">
      <alignment horizontal="left"/>
    </xf>
    <xf numFmtId="0" fontId="5" fillId="0" borderId="25" xfId="0" applyNumberFormat="1" applyFont="1" applyBorder="1" applyAlignment="1">
      <alignment horizontal="left"/>
    </xf>
    <xf numFmtId="0" fontId="5" fillId="0" borderId="53" xfId="0" applyNumberFormat="1" applyFont="1" applyBorder="1" applyAlignment="1">
      <alignment horizontal="left"/>
    </xf>
    <xf numFmtId="0" fontId="3" fillId="0" borderId="6" xfId="0" applyNumberFormat="1" applyFont="1" applyBorder="1"/>
    <xf numFmtId="0" fontId="3" fillId="0" borderId="66" xfId="0" applyNumberFormat="1" applyFont="1" applyBorder="1"/>
    <xf numFmtId="0" fontId="0" fillId="0" borderId="35" xfId="0" applyNumberFormat="1" applyBorder="1" applyAlignment="1">
      <alignment horizontal="left"/>
    </xf>
    <xf numFmtId="0" fontId="0" fillId="0" borderId="39" xfId="0" applyNumberFormat="1" applyBorder="1" applyAlignment="1">
      <alignment horizontal="left"/>
    </xf>
    <xf numFmtId="0" fontId="4" fillId="7" borderId="10" xfId="0" applyFont="1" applyFill="1" applyBorder="1" applyAlignment="1">
      <alignment horizontal="center" vertical="center" wrapText="1"/>
    </xf>
    <xf numFmtId="0" fontId="4" fillId="7" borderId="17" xfId="0" applyFont="1" applyFill="1" applyBorder="1" applyAlignment="1">
      <alignment horizontal="center" vertical="center" wrapText="1"/>
    </xf>
    <xf numFmtId="0" fontId="4" fillId="0" borderId="12" xfId="0" applyFont="1" applyBorder="1" applyAlignment="1">
      <alignment horizontal="center" vertical="center" wrapText="1"/>
    </xf>
    <xf numFmtId="0" fontId="4" fillId="0" borderId="15" xfId="0" applyFont="1" applyBorder="1" applyAlignment="1">
      <alignment horizontal="center" vertical="center" wrapText="1"/>
    </xf>
    <xf numFmtId="0" fontId="15" fillId="6" borderId="61" xfId="0" applyFont="1" applyFill="1" applyBorder="1" applyAlignment="1">
      <alignment horizontal="center" vertical="center"/>
    </xf>
    <xf numFmtId="0" fontId="15" fillId="6" borderId="54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2" fillId="3" borderId="6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4" fillId="6" borderId="10" xfId="0" applyFont="1" applyFill="1" applyBorder="1" applyAlignment="1">
      <alignment horizontal="center" vertical="center" wrapText="1"/>
    </xf>
    <xf numFmtId="0" fontId="4" fillId="6" borderId="17" xfId="0" applyFont="1" applyFill="1" applyBorder="1" applyAlignment="1">
      <alignment horizontal="center" vertical="center" wrapText="1"/>
    </xf>
    <xf numFmtId="0" fontId="4" fillId="3" borderId="11" xfId="0" applyFont="1" applyFill="1" applyBorder="1" applyAlignment="1">
      <alignment horizontal="center" vertical="center" wrapText="1"/>
    </xf>
    <xf numFmtId="0" fontId="4" fillId="3" borderId="16" xfId="0" applyFont="1" applyFill="1" applyBorder="1" applyAlignment="1">
      <alignment horizontal="center" vertical="center" wrapText="1"/>
    </xf>
  </cellXfs>
  <cellStyles count="2">
    <cellStyle name="Normal" xfId="0" builtinId="0"/>
    <cellStyle name="Normal 2" xfId="1" xr:uid="{FBA042F4-B8BA-43DB-9F62-F0B1DD8BD5A9}"/>
  </cellStyles>
  <dxfs count="1844"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F4EA7-989E-4CCA-9367-28E566D3B914}">
  <sheetPr codeName="Planilha1">
    <pageSetUpPr fitToPage="1"/>
  </sheetPr>
  <dimension ref="A1:AL132"/>
  <sheetViews>
    <sheetView tabSelected="1" zoomScaleNormal="100" workbookViewId="0">
      <selection activeCell="D7" sqref="D7"/>
    </sheetView>
  </sheetViews>
  <sheetFormatPr defaultColWidth="14.42578125" defaultRowHeight="15" customHeight="1"/>
  <cols>
    <col min="1" max="1" width="8.5703125" style="274" customWidth="1"/>
    <col min="2" max="3" width="9.85546875" customWidth="1"/>
    <col min="4" max="4" width="61.7109375" customWidth="1"/>
    <col min="5" max="9" width="3" customWidth="1"/>
    <col min="10" max="10" width="2.85546875" customWidth="1"/>
    <col min="11" max="29" width="3" customWidth="1"/>
    <col min="30" max="30" width="9.42578125" customWidth="1"/>
    <col min="31" max="32" width="11.28515625" customWidth="1"/>
    <col min="33" max="33" width="14.140625" customWidth="1"/>
    <col min="34" max="35" width="9.140625" customWidth="1"/>
    <col min="36" max="37" width="8.7109375" customWidth="1"/>
    <col min="38" max="38" width="10.140625" bestFit="1" customWidth="1"/>
  </cols>
  <sheetData>
    <row r="1" spans="1:38" ht="24" customHeight="1" thickBot="1">
      <c r="A1" s="299"/>
      <c r="B1" s="300"/>
      <c r="C1" s="300"/>
      <c r="D1" s="301"/>
    </row>
    <row r="2" spans="1:38" ht="15.75" customHeight="1" thickBot="1">
      <c r="A2" s="251" t="s">
        <v>0</v>
      </c>
      <c r="B2" s="1">
        <v>12</v>
      </c>
      <c r="C2" s="248"/>
      <c r="D2" s="2">
        <v>13.31</v>
      </c>
    </row>
    <row r="3" spans="1:38" ht="18" customHeight="1" thickBot="1">
      <c r="A3" s="302" t="s">
        <v>107</v>
      </c>
      <c r="B3" s="303"/>
      <c r="C3" s="303"/>
      <c r="D3" s="304"/>
      <c r="E3" s="3" t="s">
        <v>3</v>
      </c>
      <c r="F3" s="3" t="s">
        <v>4</v>
      </c>
      <c r="G3" s="3" t="s">
        <v>4</v>
      </c>
      <c r="H3" s="3" t="s">
        <v>2</v>
      </c>
      <c r="I3" s="4" t="s">
        <v>2</v>
      </c>
      <c r="J3" s="4" t="s">
        <v>1</v>
      </c>
      <c r="K3" s="182" t="s">
        <v>2</v>
      </c>
      <c r="L3" s="3" t="s">
        <v>3</v>
      </c>
      <c r="M3" s="3" t="s">
        <v>4</v>
      </c>
      <c r="N3" s="3" t="s">
        <v>4</v>
      </c>
      <c r="O3" s="3" t="s">
        <v>2</v>
      </c>
      <c r="P3" s="4" t="s">
        <v>2</v>
      </c>
      <c r="Q3" s="4" t="s">
        <v>1</v>
      </c>
      <c r="R3" s="182" t="s">
        <v>2</v>
      </c>
      <c r="S3" s="3" t="s">
        <v>3</v>
      </c>
      <c r="T3" s="3" t="s">
        <v>4</v>
      </c>
      <c r="U3" s="3" t="s">
        <v>4</v>
      </c>
      <c r="V3" s="183" t="s">
        <v>2</v>
      </c>
      <c r="W3" s="4" t="s">
        <v>2</v>
      </c>
      <c r="X3" s="4" t="s">
        <v>1</v>
      </c>
      <c r="Y3" s="183" t="s">
        <v>2</v>
      </c>
      <c r="Z3" s="3" t="s">
        <v>3</v>
      </c>
      <c r="AA3" s="3" t="s">
        <v>4</v>
      </c>
      <c r="AB3" s="3" t="s">
        <v>4</v>
      </c>
      <c r="AC3" s="183" t="s">
        <v>2</v>
      </c>
      <c r="AD3" s="305" t="s">
        <v>5</v>
      </c>
      <c r="AE3" s="307" t="s">
        <v>6</v>
      </c>
      <c r="AF3" s="293" t="s">
        <v>7</v>
      </c>
      <c r="AG3" s="295" t="s">
        <v>8</v>
      </c>
    </row>
    <row r="4" spans="1:38" ht="30" thickBot="1">
      <c r="A4" s="252" t="s">
        <v>9</v>
      </c>
      <c r="B4" s="121" t="s">
        <v>10</v>
      </c>
      <c r="C4" s="249" t="s">
        <v>110</v>
      </c>
      <c r="D4" s="120" t="s">
        <v>11</v>
      </c>
      <c r="E4" s="5">
        <v>43739</v>
      </c>
      <c r="F4" s="5">
        <v>43740</v>
      </c>
      <c r="G4" s="5">
        <v>43741</v>
      </c>
      <c r="H4" s="177">
        <v>43742</v>
      </c>
      <c r="I4" s="6">
        <v>43743</v>
      </c>
      <c r="J4" s="6">
        <v>43744</v>
      </c>
      <c r="K4" s="5">
        <v>43745</v>
      </c>
      <c r="L4" s="5">
        <v>43746</v>
      </c>
      <c r="M4" s="5">
        <v>43747</v>
      </c>
      <c r="N4" s="5">
        <v>43748</v>
      </c>
      <c r="O4" s="177">
        <v>43749</v>
      </c>
      <c r="P4" s="6">
        <v>43750</v>
      </c>
      <c r="Q4" s="6">
        <v>43751</v>
      </c>
      <c r="R4" s="5">
        <v>43752</v>
      </c>
      <c r="S4" s="5">
        <v>43753</v>
      </c>
      <c r="T4" s="5">
        <v>43754</v>
      </c>
      <c r="U4" s="5">
        <v>43755</v>
      </c>
      <c r="V4" s="177">
        <v>43756</v>
      </c>
      <c r="W4" s="6">
        <v>43757</v>
      </c>
      <c r="X4" s="6">
        <v>43758</v>
      </c>
      <c r="Y4" s="177">
        <v>43759</v>
      </c>
      <c r="Z4" s="5">
        <v>43760</v>
      </c>
      <c r="AA4" s="5">
        <v>43761</v>
      </c>
      <c r="AB4" s="5">
        <v>43762</v>
      </c>
      <c r="AC4" s="177">
        <v>43763</v>
      </c>
      <c r="AD4" s="306"/>
      <c r="AE4" s="308"/>
      <c r="AF4" s="294"/>
      <c r="AG4" s="296"/>
    </row>
    <row r="5" spans="1:38" ht="15.75" customHeight="1" thickBot="1">
      <c r="A5" s="253">
        <v>34</v>
      </c>
      <c r="B5" s="210">
        <v>1100</v>
      </c>
      <c r="C5" s="210"/>
      <c r="D5" s="234"/>
      <c r="E5" s="218" t="s">
        <v>13</v>
      </c>
      <c r="F5" s="158" t="s">
        <v>13</v>
      </c>
      <c r="G5" s="158" t="s">
        <v>13</v>
      </c>
      <c r="H5" s="178" t="s">
        <v>13</v>
      </c>
      <c r="I5" s="7"/>
      <c r="J5" s="7"/>
      <c r="K5" s="158" t="s">
        <v>13</v>
      </c>
      <c r="L5" s="158" t="s">
        <v>13</v>
      </c>
      <c r="M5" s="158" t="s">
        <v>13</v>
      </c>
      <c r="N5" s="158">
        <v>1</v>
      </c>
      <c r="O5" s="178" t="s">
        <v>13</v>
      </c>
      <c r="P5" s="7"/>
      <c r="Q5" s="7"/>
      <c r="R5" s="158" t="s">
        <v>13</v>
      </c>
      <c r="S5" s="158" t="s">
        <v>13</v>
      </c>
      <c r="T5" s="158" t="s">
        <v>13</v>
      </c>
      <c r="U5" s="158" t="s">
        <v>13</v>
      </c>
      <c r="V5" s="178" t="s">
        <v>13</v>
      </c>
      <c r="W5" s="7"/>
      <c r="X5" s="7"/>
      <c r="Y5" s="178">
        <v>1</v>
      </c>
      <c r="Z5" s="158" t="s">
        <v>12</v>
      </c>
      <c r="AA5" s="158"/>
      <c r="AB5" s="158">
        <v>1</v>
      </c>
      <c r="AC5" s="178">
        <v>1</v>
      </c>
      <c r="AD5" s="9">
        <f t="shared" ref="AD5:AD36" si="0">COUNT(E5:AC5)</f>
        <v>4</v>
      </c>
      <c r="AE5" s="10">
        <f>AD5*($B$2*20%)</f>
        <v>9.6000000000000014</v>
      </c>
      <c r="AF5" s="11">
        <f>(AD5*$D$2)-AE5</f>
        <v>43.64</v>
      </c>
      <c r="AG5" s="12"/>
    </row>
    <row r="6" spans="1:38" ht="15.75" customHeight="1">
      <c r="A6" s="254" t="s">
        <v>16</v>
      </c>
      <c r="B6" s="213">
        <v>1100</v>
      </c>
      <c r="C6" s="213" t="s">
        <v>111</v>
      </c>
      <c r="D6" s="235"/>
      <c r="E6" s="219">
        <v>1</v>
      </c>
      <c r="F6" s="13">
        <v>1</v>
      </c>
      <c r="G6" s="13">
        <v>1</v>
      </c>
      <c r="H6" s="17">
        <v>1</v>
      </c>
      <c r="I6" s="15"/>
      <c r="J6" s="15"/>
      <c r="K6" s="13">
        <v>1</v>
      </c>
      <c r="L6" s="13">
        <v>1</v>
      </c>
      <c r="M6" s="13">
        <v>1</v>
      </c>
      <c r="N6" s="13">
        <v>1</v>
      </c>
      <c r="O6" s="17">
        <v>1</v>
      </c>
      <c r="P6" s="15"/>
      <c r="Q6" s="15"/>
      <c r="R6" s="13">
        <v>1</v>
      </c>
      <c r="S6" s="13">
        <v>1</v>
      </c>
      <c r="T6" s="13">
        <v>1</v>
      </c>
      <c r="U6" s="13">
        <v>1</v>
      </c>
      <c r="V6" s="178">
        <v>1</v>
      </c>
      <c r="W6" s="15"/>
      <c r="X6" s="15"/>
      <c r="Y6" s="178">
        <v>1</v>
      </c>
      <c r="Z6" s="13">
        <v>1</v>
      </c>
      <c r="AA6" s="13"/>
      <c r="AB6" s="13">
        <v>1</v>
      </c>
      <c r="AC6" s="178">
        <v>1</v>
      </c>
      <c r="AD6" s="18">
        <f t="shared" si="0"/>
        <v>18</v>
      </c>
      <c r="AE6" s="19">
        <f t="shared" ref="AE6:AE60" si="1">AD6*($B$2*20%)</f>
        <v>43.2</v>
      </c>
      <c r="AF6" s="20">
        <f t="shared" ref="AF6:AF56" si="2">(AD6*$D$2)-AE6</f>
        <v>196.38</v>
      </c>
      <c r="AG6" s="21"/>
    </row>
    <row r="7" spans="1:38" ht="15.75" customHeight="1">
      <c r="A7" s="254" t="s">
        <v>18</v>
      </c>
      <c r="B7" s="213">
        <v>1100</v>
      </c>
      <c r="C7" s="213" t="s">
        <v>111</v>
      </c>
      <c r="D7" s="235"/>
      <c r="E7" s="220">
        <v>1</v>
      </c>
      <c r="F7" s="16">
        <v>1</v>
      </c>
      <c r="G7" s="16">
        <v>1</v>
      </c>
      <c r="H7" s="45" t="s">
        <v>15</v>
      </c>
      <c r="I7" s="22"/>
      <c r="J7" s="22"/>
      <c r="K7" s="157" t="s">
        <v>13</v>
      </c>
      <c r="L7" s="157" t="s">
        <v>13</v>
      </c>
      <c r="M7" s="157" t="s">
        <v>13</v>
      </c>
      <c r="N7" s="157" t="s">
        <v>13</v>
      </c>
      <c r="O7" s="157" t="s">
        <v>13</v>
      </c>
      <c r="P7" s="22"/>
      <c r="Q7" s="22"/>
      <c r="R7" s="157" t="s">
        <v>13</v>
      </c>
      <c r="S7" s="157" t="s">
        <v>13</v>
      </c>
      <c r="T7" s="157" t="s">
        <v>13</v>
      </c>
      <c r="U7" s="157" t="s">
        <v>13</v>
      </c>
      <c r="V7" s="147" t="s">
        <v>13</v>
      </c>
      <c r="W7" s="22"/>
      <c r="X7" s="22"/>
      <c r="Y7" s="147">
        <v>1</v>
      </c>
      <c r="Z7" s="157" t="s">
        <v>13</v>
      </c>
      <c r="AA7" s="157"/>
      <c r="AB7" s="157">
        <v>1</v>
      </c>
      <c r="AC7" s="147">
        <v>1</v>
      </c>
      <c r="AD7" s="18">
        <f t="shared" si="0"/>
        <v>6</v>
      </c>
      <c r="AE7" s="19">
        <f t="shared" si="1"/>
        <v>14.400000000000002</v>
      </c>
      <c r="AF7" s="20">
        <f t="shared" si="2"/>
        <v>65.459999999999994</v>
      </c>
      <c r="AG7" s="21"/>
    </row>
    <row r="8" spans="1:38" ht="15.75" customHeight="1">
      <c r="A8" s="255" t="s">
        <v>19</v>
      </c>
      <c r="B8" s="141">
        <v>1100</v>
      </c>
      <c r="C8" s="141"/>
      <c r="D8" s="236"/>
      <c r="E8" s="219" t="s">
        <v>17</v>
      </c>
      <c r="F8" s="13" t="s">
        <v>17</v>
      </c>
      <c r="G8" s="13" t="s">
        <v>17</v>
      </c>
      <c r="H8" s="13">
        <v>1</v>
      </c>
      <c r="I8" s="15"/>
      <c r="J8" s="15"/>
      <c r="K8" s="13">
        <v>1</v>
      </c>
      <c r="L8" s="13">
        <v>1</v>
      </c>
      <c r="M8" s="13">
        <v>1</v>
      </c>
      <c r="N8" s="13">
        <v>1</v>
      </c>
      <c r="O8" s="17">
        <v>1</v>
      </c>
      <c r="P8" s="15"/>
      <c r="Q8" s="15"/>
      <c r="R8" s="13">
        <v>1</v>
      </c>
      <c r="S8" s="13">
        <v>1</v>
      </c>
      <c r="T8" s="13">
        <v>1</v>
      </c>
      <c r="U8" s="13" t="s">
        <v>13</v>
      </c>
      <c r="V8" s="17" t="s">
        <v>13</v>
      </c>
      <c r="W8" s="15"/>
      <c r="X8" s="15"/>
      <c r="Y8" s="17" t="s">
        <v>13</v>
      </c>
      <c r="Z8" s="13" t="s">
        <v>13</v>
      </c>
      <c r="AA8" s="13"/>
      <c r="AB8" s="13" t="s">
        <v>13</v>
      </c>
      <c r="AC8" s="17" t="s">
        <v>13</v>
      </c>
      <c r="AD8" s="18">
        <f t="shared" si="0"/>
        <v>9</v>
      </c>
      <c r="AE8" s="19">
        <f t="shared" si="1"/>
        <v>21.6</v>
      </c>
      <c r="AF8" s="20">
        <f t="shared" si="2"/>
        <v>98.19</v>
      </c>
      <c r="AG8" s="21"/>
    </row>
    <row r="9" spans="1:38" ht="15.75" customHeight="1">
      <c r="A9" s="255" t="s">
        <v>20</v>
      </c>
      <c r="B9" s="141">
        <v>1100</v>
      </c>
      <c r="C9" s="141"/>
      <c r="D9" s="236"/>
      <c r="E9" s="221">
        <v>1</v>
      </c>
      <c r="F9" s="23">
        <v>1</v>
      </c>
      <c r="G9" s="23">
        <v>1</v>
      </c>
      <c r="H9" s="24">
        <v>1</v>
      </c>
      <c r="I9" s="15"/>
      <c r="J9" s="15"/>
      <c r="K9" s="23">
        <v>1</v>
      </c>
      <c r="L9" s="23">
        <v>1</v>
      </c>
      <c r="M9" s="23">
        <v>1</v>
      </c>
      <c r="N9" s="23">
        <v>1</v>
      </c>
      <c r="O9" s="24">
        <v>1</v>
      </c>
      <c r="P9" s="15"/>
      <c r="Q9" s="15"/>
      <c r="R9" s="23">
        <v>1</v>
      </c>
      <c r="S9" s="23">
        <v>1</v>
      </c>
      <c r="T9" s="23">
        <v>1</v>
      </c>
      <c r="U9" s="23">
        <v>1</v>
      </c>
      <c r="V9" s="24">
        <v>1</v>
      </c>
      <c r="W9" s="15"/>
      <c r="X9" s="15"/>
      <c r="Y9" s="24">
        <v>1</v>
      </c>
      <c r="Z9" s="23">
        <v>1</v>
      </c>
      <c r="AA9" s="23"/>
      <c r="AB9" s="23">
        <v>1</v>
      </c>
      <c r="AC9" s="24">
        <v>1</v>
      </c>
      <c r="AD9" s="18">
        <f t="shared" si="0"/>
        <v>18</v>
      </c>
      <c r="AE9" s="19">
        <f t="shared" si="1"/>
        <v>43.2</v>
      </c>
      <c r="AF9" s="20">
        <f t="shared" si="2"/>
        <v>196.38</v>
      </c>
      <c r="AG9" s="21"/>
      <c r="AL9" s="25"/>
    </row>
    <row r="10" spans="1:38" ht="15.75" customHeight="1">
      <c r="A10" s="256" t="s">
        <v>21</v>
      </c>
      <c r="B10" s="164">
        <v>1100</v>
      </c>
      <c r="C10" s="164"/>
      <c r="D10" s="237"/>
      <c r="E10" s="222">
        <v>1</v>
      </c>
      <c r="F10" s="14">
        <v>1</v>
      </c>
      <c r="G10" s="14">
        <v>1</v>
      </c>
      <c r="H10" s="26">
        <v>1</v>
      </c>
      <c r="I10" s="15"/>
      <c r="J10" s="15"/>
      <c r="K10" s="14">
        <v>1</v>
      </c>
      <c r="L10" s="14">
        <v>1</v>
      </c>
      <c r="M10" s="14">
        <v>1</v>
      </c>
      <c r="N10" s="14">
        <v>1</v>
      </c>
      <c r="O10" s="26">
        <v>1</v>
      </c>
      <c r="P10" s="15"/>
      <c r="Q10" s="15"/>
      <c r="R10" s="14">
        <v>1</v>
      </c>
      <c r="S10" s="14">
        <v>1</v>
      </c>
      <c r="T10" s="14">
        <v>1</v>
      </c>
      <c r="U10" s="14">
        <v>1</v>
      </c>
      <c r="V10" s="26">
        <v>1</v>
      </c>
      <c r="W10" s="15"/>
      <c r="X10" s="15"/>
      <c r="Y10" s="26">
        <v>1</v>
      </c>
      <c r="Z10" s="14">
        <v>1</v>
      </c>
      <c r="AA10" s="14"/>
      <c r="AB10" s="14">
        <v>1</v>
      </c>
      <c r="AC10" s="26">
        <v>1</v>
      </c>
      <c r="AD10" s="18">
        <f t="shared" si="0"/>
        <v>18</v>
      </c>
      <c r="AE10" s="19">
        <f t="shared" si="1"/>
        <v>43.2</v>
      </c>
      <c r="AF10" s="20">
        <f t="shared" si="2"/>
        <v>196.38</v>
      </c>
      <c r="AG10" s="21"/>
      <c r="AL10" s="25"/>
    </row>
    <row r="11" spans="1:38" ht="15.75" customHeight="1">
      <c r="A11" s="255" t="s">
        <v>22</v>
      </c>
      <c r="B11" s="141">
        <v>1100</v>
      </c>
      <c r="C11" s="141"/>
      <c r="D11" s="236"/>
      <c r="E11" s="219" t="s">
        <v>17</v>
      </c>
      <c r="F11" s="13" t="s">
        <v>17</v>
      </c>
      <c r="G11" s="13" t="s">
        <v>17</v>
      </c>
      <c r="H11" s="17" t="s">
        <v>17</v>
      </c>
      <c r="I11" s="15"/>
      <c r="J11" s="15"/>
      <c r="K11" s="13" t="s">
        <v>17</v>
      </c>
      <c r="L11" s="13" t="s">
        <v>17</v>
      </c>
      <c r="M11" s="13" t="s">
        <v>17</v>
      </c>
      <c r="N11" s="13" t="s">
        <v>17</v>
      </c>
      <c r="O11" s="17" t="s">
        <v>17</v>
      </c>
      <c r="P11" s="15"/>
      <c r="Q11" s="15"/>
      <c r="R11" s="13" t="s">
        <v>17</v>
      </c>
      <c r="S11" s="13" t="s">
        <v>17</v>
      </c>
      <c r="T11" s="13" t="s">
        <v>17</v>
      </c>
      <c r="U11" s="13">
        <v>1</v>
      </c>
      <c r="V11" s="17" t="s">
        <v>13</v>
      </c>
      <c r="W11" s="15"/>
      <c r="X11" s="15"/>
      <c r="Y11" s="17">
        <v>1</v>
      </c>
      <c r="Z11" s="13">
        <v>1</v>
      </c>
      <c r="AA11" s="13"/>
      <c r="AB11" s="13">
        <v>1</v>
      </c>
      <c r="AC11" s="17">
        <v>1</v>
      </c>
      <c r="AD11" s="18">
        <f t="shared" si="0"/>
        <v>5</v>
      </c>
      <c r="AE11" s="19">
        <f t="shared" si="1"/>
        <v>12.000000000000002</v>
      </c>
      <c r="AF11" s="20">
        <f t="shared" si="2"/>
        <v>54.55</v>
      </c>
      <c r="AG11" s="21"/>
    </row>
    <row r="12" spans="1:38" ht="15.75" customHeight="1">
      <c r="A12" s="257" t="s">
        <v>23</v>
      </c>
      <c r="B12" s="211">
        <v>1100</v>
      </c>
      <c r="C12" s="211"/>
      <c r="D12" s="237"/>
      <c r="E12" s="222">
        <v>1</v>
      </c>
      <c r="F12" s="14">
        <v>1</v>
      </c>
      <c r="G12" s="14">
        <v>1</v>
      </c>
      <c r="H12" s="26">
        <v>1</v>
      </c>
      <c r="I12" s="15"/>
      <c r="J12" s="15"/>
      <c r="K12" s="14">
        <v>1</v>
      </c>
      <c r="L12" s="14">
        <v>1</v>
      </c>
      <c r="M12" s="14">
        <v>1</v>
      </c>
      <c r="N12" s="14">
        <v>1</v>
      </c>
      <c r="O12" s="26">
        <v>1</v>
      </c>
      <c r="P12" s="15"/>
      <c r="Q12" s="15"/>
      <c r="R12" s="14">
        <v>1</v>
      </c>
      <c r="S12" s="14">
        <v>1</v>
      </c>
      <c r="T12" s="14">
        <v>1</v>
      </c>
      <c r="U12" s="157" t="s">
        <v>13</v>
      </c>
      <c r="V12" s="26">
        <v>1</v>
      </c>
      <c r="W12" s="15"/>
      <c r="X12" s="15"/>
      <c r="Y12" s="26" t="s">
        <v>13</v>
      </c>
      <c r="Z12" s="14" t="s">
        <v>13</v>
      </c>
      <c r="AA12" s="14" t="s">
        <v>13</v>
      </c>
      <c r="AB12" s="157" t="s">
        <v>13</v>
      </c>
      <c r="AC12" s="26" t="s">
        <v>13</v>
      </c>
      <c r="AD12" s="18">
        <f t="shared" si="0"/>
        <v>13</v>
      </c>
      <c r="AE12" s="27">
        <f t="shared" si="1"/>
        <v>31.200000000000003</v>
      </c>
      <c r="AF12" s="28">
        <f t="shared" si="2"/>
        <v>141.82999999999998</v>
      </c>
      <c r="AG12" s="29"/>
    </row>
    <row r="13" spans="1:38" ht="15.75" customHeight="1">
      <c r="A13" s="258" t="s">
        <v>24</v>
      </c>
      <c r="B13" s="213">
        <v>1100</v>
      </c>
      <c r="C13" s="213" t="s">
        <v>111</v>
      </c>
      <c r="D13" s="235"/>
      <c r="E13" s="222">
        <v>1</v>
      </c>
      <c r="F13" s="14">
        <v>1</v>
      </c>
      <c r="G13" s="14">
        <v>1</v>
      </c>
      <c r="H13" s="26">
        <v>1</v>
      </c>
      <c r="I13" s="15"/>
      <c r="J13" s="15"/>
      <c r="K13" s="14">
        <v>1</v>
      </c>
      <c r="L13" s="14">
        <v>1</v>
      </c>
      <c r="M13" s="14">
        <v>1</v>
      </c>
      <c r="N13" s="14">
        <v>1</v>
      </c>
      <c r="O13" s="26">
        <v>1</v>
      </c>
      <c r="P13" s="15"/>
      <c r="Q13" s="15"/>
      <c r="R13" s="14">
        <v>1</v>
      </c>
      <c r="S13" s="14">
        <v>1</v>
      </c>
      <c r="T13" s="14">
        <v>1</v>
      </c>
      <c r="U13" s="14">
        <v>1</v>
      </c>
      <c r="V13" s="26">
        <v>1</v>
      </c>
      <c r="W13" s="15"/>
      <c r="X13" s="15"/>
      <c r="Y13" s="26">
        <v>1</v>
      </c>
      <c r="Z13" s="14">
        <v>1</v>
      </c>
      <c r="AA13" s="14"/>
      <c r="AB13" s="14">
        <v>1</v>
      </c>
      <c r="AC13" s="26">
        <v>1</v>
      </c>
      <c r="AD13" s="18">
        <f t="shared" si="0"/>
        <v>18</v>
      </c>
      <c r="AE13" s="27">
        <f t="shared" si="1"/>
        <v>43.2</v>
      </c>
      <c r="AF13" s="28">
        <f t="shared" si="2"/>
        <v>196.38</v>
      </c>
      <c r="AG13" s="29"/>
    </row>
    <row r="14" spans="1:38" ht="15.75" customHeight="1">
      <c r="A14" s="259" t="s">
        <v>25</v>
      </c>
      <c r="B14" s="164">
        <v>1100</v>
      </c>
      <c r="C14" s="164"/>
      <c r="D14" s="237"/>
      <c r="E14" s="222">
        <v>1</v>
      </c>
      <c r="F14" s="14">
        <v>1</v>
      </c>
      <c r="G14" s="14">
        <v>1</v>
      </c>
      <c r="H14" s="26">
        <v>1</v>
      </c>
      <c r="I14" s="15"/>
      <c r="J14" s="15"/>
      <c r="K14" s="14">
        <v>1</v>
      </c>
      <c r="L14" s="14">
        <v>1</v>
      </c>
      <c r="M14" s="14">
        <v>1</v>
      </c>
      <c r="N14" s="14">
        <v>1</v>
      </c>
      <c r="O14" s="26">
        <v>1</v>
      </c>
      <c r="P14" s="15"/>
      <c r="Q14" s="15"/>
      <c r="R14" s="14">
        <v>1</v>
      </c>
      <c r="S14" s="14">
        <v>1</v>
      </c>
      <c r="T14" s="14">
        <v>1</v>
      </c>
      <c r="U14" s="14">
        <v>1</v>
      </c>
      <c r="V14" s="26">
        <v>1</v>
      </c>
      <c r="W14" s="15"/>
      <c r="X14" s="15"/>
      <c r="Y14" s="26">
        <v>1</v>
      </c>
      <c r="Z14" s="14">
        <v>1</v>
      </c>
      <c r="AA14" s="14"/>
      <c r="AB14" s="14">
        <v>1</v>
      </c>
      <c r="AC14" s="26">
        <v>1</v>
      </c>
      <c r="AD14" s="18">
        <f t="shared" si="0"/>
        <v>18</v>
      </c>
      <c r="AE14" s="27">
        <f t="shared" si="1"/>
        <v>43.2</v>
      </c>
      <c r="AF14" s="28">
        <f t="shared" si="2"/>
        <v>196.38</v>
      </c>
      <c r="AG14" s="29"/>
    </row>
    <row r="15" spans="1:38" ht="15.75" customHeight="1">
      <c r="A15" s="260" t="s">
        <v>26</v>
      </c>
      <c r="B15" s="161">
        <v>1100</v>
      </c>
      <c r="C15" s="161"/>
      <c r="D15" s="238"/>
      <c r="E15" s="222">
        <v>1</v>
      </c>
      <c r="F15" s="14">
        <v>1</v>
      </c>
      <c r="G15" s="14">
        <v>1</v>
      </c>
      <c r="H15" s="26">
        <v>1</v>
      </c>
      <c r="I15" s="15"/>
      <c r="J15" s="15"/>
      <c r="K15" s="14">
        <v>1</v>
      </c>
      <c r="L15" s="14">
        <v>1</v>
      </c>
      <c r="M15" s="14">
        <v>1</v>
      </c>
      <c r="N15" s="14">
        <v>1</v>
      </c>
      <c r="O15" s="26">
        <v>1</v>
      </c>
      <c r="P15" s="15"/>
      <c r="Q15" s="15"/>
      <c r="R15" s="14">
        <v>1</v>
      </c>
      <c r="S15" s="14">
        <v>1</v>
      </c>
      <c r="T15" s="14">
        <v>1</v>
      </c>
      <c r="U15" s="14">
        <v>1</v>
      </c>
      <c r="V15" s="26">
        <v>1</v>
      </c>
      <c r="W15" s="15"/>
      <c r="X15" s="15"/>
      <c r="Y15" s="26">
        <v>1</v>
      </c>
      <c r="Z15" s="14">
        <v>1</v>
      </c>
      <c r="AA15" s="14"/>
      <c r="AB15" s="14">
        <v>1</v>
      </c>
      <c r="AC15" s="26">
        <v>1</v>
      </c>
      <c r="AD15" s="18">
        <f t="shared" si="0"/>
        <v>18</v>
      </c>
      <c r="AE15" s="30">
        <f t="shared" si="1"/>
        <v>43.2</v>
      </c>
      <c r="AF15" s="31">
        <f t="shared" si="2"/>
        <v>196.38</v>
      </c>
      <c r="AG15" s="32"/>
    </row>
    <row r="16" spans="1:38" ht="15.75" customHeight="1">
      <c r="A16" s="260" t="s">
        <v>27</v>
      </c>
      <c r="B16" s="161">
        <v>1100</v>
      </c>
      <c r="C16" s="161"/>
      <c r="D16" s="238"/>
      <c r="E16" s="222">
        <v>1</v>
      </c>
      <c r="F16" s="14">
        <v>1</v>
      </c>
      <c r="G16" s="14">
        <v>1</v>
      </c>
      <c r="H16" s="26">
        <v>1</v>
      </c>
      <c r="I16" s="15"/>
      <c r="J16" s="15"/>
      <c r="K16" s="14">
        <v>1</v>
      </c>
      <c r="L16" s="14">
        <v>1</v>
      </c>
      <c r="M16" s="14">
        <v>1</v>
      </c>
      <c r="N16" s="14">
        <v>1</v>
      </c>
      <c r="O16" s="26">
        <v>1</v>
      </c>
      <c r="P16" s="15"/>
      <c r="Q16" s="15"/>
      <c r="R16" s="14">
        <v>1</v>
      </c>
      <c r="S16" s="14">
        <v>1</v>
      </c>
      <c r="T16" s="14">
        <v>1</v>
      </c>
      <c r="U16" s="14">
        <v>1</v>
      </c>
      <c r="V16" s="26">
        <v>1</v>
      </c>
      <c r="W16" s="15"/>
      <c r="X16" s="15"/>
      <c r="Y16" s="26">
        <v>1</v>
      </c>
      <c r="Z16" s="14">
        <v>1</v>
      </c>
      <c r="AA16" s="14"/>
      <c r="AB16" s="14">
        <v>1</v>
      </c>
      <c r="AC16" s="26">
        <v>1</v>
      </c>
      <c r="AD16" s="18">
        <f t="shared" si="0"/>
        <v>18</v>
      </c>
      <c r="AE16" s="30">
        <f t="shared" si="1"/>
        <v>43.2</v>
      </c>
      <c r="AF16" s="31">
        <f t="shared" si="2"/>
        <v>196.38</v>
      </c>
      <c r="AG16" s="33"/>
    </row>
    <row r="17" spans="1:33" ht="15.75" customHeight="1">
      <c r="A17" s="260" t="s">
        <v>28</v>
      </c>
      <c r="B17" s="161">
        <v>1100</v>
      </c>
      <c r="C17" s="161"/>
      <c r="D17" s="238"/>
      <c r="E17" s="219">
        <v>1</v>
      </c>
      <c r="F17" s="13">
        <v>1</v>
      </c>
      <c r="G17" s="13">
        <v>1</v>
      </c>
      <c r="H17" s="17" t="s">
        <v>49</v>
      </c>
      <c r="I17" s="15"/>
      <c r="J17" s="15"/>
      <c r="K17" s="13">
        <v>1</v>
      </c>
      <c r="L17" s="13">
        <v>1</v>
      </c>
      <c r="M17" s="13">
        <v>1</v>
      </c>
      <c r="N17" s="13">
        <v>1</v>
      </c>
      <c r="O17" s="17" t="s">
        <v>49</v>
      </c>
      <c r="P17" s="15"/>
      <c r="Q17" s="15"/>
      <c r="R17" s="13">
        <v>1</v>
      </c>
      <c r="S17" s="13">
        <v>1</v>
      </c>
      <c r="T17" s="13">
        <v>1</v>
      </c>
      <c r="U17" s="13">
        <v>1</v>
      </c>
      <c r="V17" s="17" t="s">
        <v>13</v>
      </c>
      <c r="W17" s="15"/>
      <c r="X17" s="15"/>
      <c r="Y17" s="17">
        <v>1</v>
      </c>
      <c r="Z17" s="13">
        <v>1</v>
      </c>
      <c r="AA17" s="13" t="s">
        <v>13</v>
      </c>
      <c r="AB17" s="13" t="s">
        <v>13</v>
      </c>
      <c r="AC17" s="17" t="s">
        <v>13</v>
      </c>
      <c r="AD17" s="18">
        <f t="shared" si="0"/>
        <v>13</v>
      </c>
      <c r="AE17" s="34">
        <f t="shared" si="1"/>
        <v>31.200000000000003</v>
      </c>
      <c r="AF17" s="35">
        <f t="shared" si="2"/>
        <v>141.82999999999998</v>
      </c>
      <c r="AG17" s="36"/>
    </row>
    <row r="18" spans="1:33" ht="15.75" customHeight="1" thickBot="1">
      <c r="A18" s="261" t="s">
        <v>29</v>
      </c>
      <c r="B18" s="212">
        <v>11000</v>
      </c>
      <c r="C18" s="212"/>
      <c r="D18" s="239"/>
      <c r="E18" s="223" t="s">
        <v>13</v>
      </c>
      <c r="F18" s="169" t="s">
        <v>13</v>
      </c>
      <c r="G18" s="169" t="s">
        <v>13</v>
      </c>
      <c r="H18" s="148" t="s">
        <v>13</v>
      </c>
      <c r="I18" s="59"/>
      <c r="J18" s="59"/>
      <c r="K18" s="169" t="s">
        <v>13</v>
      </c>
      <c r="L18" s="169" t="s">
        <v>13</v>
      </c>
      <c r="M18" s="169" t="s">
        <v>13</v>
      </c>
      <c r="N18" s="169" t="s">
        <v>13</v>
      </c>
      <c r="O18" s="148" t="s">
        <v>13</v>
      </c>
      <c r="P18" s="59"/>
      <c r="Q18" s="59"/>
      <c r="R18" s="169" t="s">
        <v>13</v>
      </c>
      <c r="S18" s="169" t="s">
        <v>13</v>
      </c>
      <c r="T18" s="169" t="s">
        <v>13</v>
      </c>
      <c r="U18" s="169" t="s">
        <v>13</v>
      </c>
      <c r="V18" s="148" t="s">
        <v>13</v>
      </c>
      <c r="W18" s="59"/>
      <c r="X18" s="59"/>
      <c r="Y18" s="148" t="s">
        <v>13</v>
      </c>
      <c r="Z18" s="169" t="s">
        <v>13</v>
      </c>
      <c r="AA18" s="169" t="s">
        <v>13</v>
      </c>
      <c r="AB18" s="169" t="s">
        <v>13</v>
      </c>
      <c r="AC18" s="148" t="s">
        <v>13</v>
      </c>
      <c r="AD18" s="170">
        <f t="shared" si="0"/>
        <v>0</v>
      </c>
      <c r="AE18" s="65">
        <f t="shared" si="1"/>
        <v>0</v>
      </c>
      <c r="AF18" s="61">
        <f t="shared" si="2"/>
        <v>0</v>
      </c>
      <c r="AG18" s="66">
        <f>SUM(AE5:AE18)</f>
        <v>422.39999999999992</v>
      </c>
    </row>
    <row r="19" spans="1:33" ht="15.75" customHeight="1">
      <c r="A19" s="262" t="s">
        <v>30</v>
      </c>
      <c r="B19" s="214">
        <v>1300</v>
      </c>
      <c r="C19" s="214" t="s">
        <v>111</v>
      </c>
      <c r="D19" s="240"/>
      <c r="E19" s="224" t="s">
        <v>13</v>
      </c>
      <c r="F19" s="40" t="s">
        <v>13</v>
      </c>
      <c r="G19" s="40" t="s">
        <v>13</v>
      </c>
      <c r="H19" s="41" t="s">
        <v>13</v>
      </c>
      <c r="I19" s="7"/>
      <c r="J19" s="7"/>
      <c r="K19" s="40" t="s">
        <v>13</v>
      </c>
      <c r="L19" s="40" t="s">
        <v>13</v>
      </c>
      <c r="M19" s="40" t="s">
        <v>13</v>
      </c>
      <c r="N19" s="40" t="s">
        <v>13</v>
      </c>
      <c r="O19" s="41" t="s">
        <v>13</v>
      </c>
      <c r="P19" s="7"/>
      <c r="Q19" s="7"/>
      <c r="R19" s="40" t="s">
        <v>13</v>
      </c>
      <c r="S19" s="40" t="s">
        <v>13</v>
      </c>
      <c r="T19" s="40" t="s">
        <v>13</v>
      </c>
      <c r="U19" s="40" t="s">
        <v>13</v>
      </c>
      <c r="V19" s="41" t="s">
        <v>13</v>
      </c>
      <c r="W19" s="7"/>
      <c r="X19" s="7"/>
      <c r="Y19" s="41" t="s">
        <v>13</v>
      </c>
      <c r="Z19" s="40" t="s">
        <v>13</v>
      </c>
      <c r="AA19" s="40"/>
      <c r="AB19" s="40" t="s">
        <v>13</v>
      </c>
      <c r="AC19" s="41" t="s">
        <v>13</v>
      </c>
      <c r="AD19" s="9">
        <f t="shared" si="0"/>
        <v>0</v>
      </c>
      <c r="AE19" s="42">
        <f t="shared" si="1"/>
        <v>0</v>
      </c>
      <c r="AF19" s="43">
        <f t="shared" si="2"/>
        <v>0</v>
      </c>
      <c r="AG19" s="44"/>
    </row>
    <row r="20" spans="1:33" ht="15.75" customHeight="1">
      <c r="A20" s="263" t="s">
        <v>31</v>
      </c>
      <c r="B20" s="161">
        <v>1300</v>
      </c>
      <c r="C20" s="161"/>
      <c r="D20" s="238"/>
      <c r="E20" s="220">
        <v>1</v>
      </c>
      <c r="F20" s="16">
        <v>1</v>
      </c>
      <c r="G20" s="16">
        <v>1</v>
      </c>
      <c r="H20" s="45">
        <v>1</v>
      </c>
      <c r="I20" s="15"/>
      <c r="J20" s="15"/>
      <c r="K20" s="16">
        <v>1</v>
      </c>
      <c r="L20" s="16">
        <v>1</v>
      </c>
      <c r="M20" s="16">
        <v>1</v>
      </c>
      <c r="N20" s="16">
        <v>1</v>
      </c>
      <c r="O20" s="45">
        <v>1</v>
      </c>
      <c r="P20" s="15"/>
      <c r="Q20" s="15"/>
      <c r="R20" s="16">
        <v>1</v>
      </c>
      <c r="S20" s="16">
        <v>1</v>
      </c>
      <c r="T20" s="16">
        <v>1</v>
      </c>
      <c r="U20" s="16" t="s">
        <v>13</v>
      </c>
      <c r="V20" s="45" t="s">
        <v>13</v>
      </c>
      <c r="W20" s="15"/>
      <c r="X20" s="15"/>
      <c r="Y20" s="45" t="s">
        <v>13</v>
      </c>
      <c r="Z20" s="16" t="s">
        <v>13</v>
      </c>
      <c r="AA20" s="16" t="s">
        <v>13</v>
      </c>
      <c r="AB20" s="16">
        <v>1</v>
      </c>
      <c r="AC20" s="45">
        <v>1</v>
      </c>
      <c r="AD20" s="18">
        <f t="shared" si="0"/>
        <v>14</v>
      </c>
      <c r="AE20" s="46">
        <f t="shared" si="1"/>
        <v>33.600000000000009</v>
      </c>
      <c r="AF20" s="31">
        <f t="shared" si="2"/>
        <v>152.74</v>
      </c>
      <c r="AG20" s="47"/>
    </row>
    <row r="21" spans="1:33" ht="15.75" customHeight="1">
      <c r="A21" s="263" t="s">
        <v>32</v>
      </c>
      <c r="B21" s="161">
        <v>1300</v>
      </c>
      <c r="C21" s="161"/>
      <c r="D21" s="238"/>
      <c r="E21" s="220" t="s">
        <v>13</v>
      </c>
      <c r="F21" s="16" t="s">
        <v>13</v>
      </c>
      <c r="G21" s="16" t="s">
        <v>13</v>
      </c>
      <c r="H21" s="45" t="s">
        <v>13</v>
      </c>
      <c r="I21" s="15"/>
      <c r="J21" s="15"/>
      <c r="K21" s="16" t="s">
        <v>13</v>
      </c>
      <c r="L21" s="16" t="s">
        <v>13</v>
      </c>
      <c r="M21" s="16" t="s">
        <v>13</v>
      </c>
      <c r="N21" s="16" t="s">
        <v>13</v>
      </c>
      <c r="O21" s="45" t="s">
        <v>13</v>
      </c>
      <c r="P21" s="15"/>
      <c r="Q21" s="15"/>
      <c r="R21" s="16" t="s">
        <v>13</v>
      </c>
      <c r="S21" s="16" t="s">
        <v>13</v>
      </c>
      <c r="T21" s="16" t="s">
        <v>13</v>
      </c>
      <c r="U21" s="16" t="s">
        <v>13</v>
      </c>
      <c r="V21" s="45" t="s">
        <v>13</v>
      </c>
      <c r="W21" s="15"/>
      <c r="X21" s="15"/>
      <c r="Y21" s="45" t="s">
        <v>13</v>
      </c>
      <c r="Z21" s="16" t="s">
        <v>13</v>
      </c>
      <c r="AA21" s="16" t="s">
        <v>13</v>
      </c>
      <c r="AB21" s="16" t="s">
        <v>13</v>
      </c>
      <c r="AC21" s="45" t="s">
        <v>13</v>
      </c>
      <c r="AD21" s="18">
        <f t="shared" si="0"/>
        <v>0</v>
      </c>
      <c r="AE21" s="30">
        <f t="shared" si="1"/>
        <v>0</v>
      </c>
      <c r="AF21" s="31">
        <f t="shared" si="2"/>
        <v>0</v>
      </c>
      <c r="AG21" s="47"/>
    </row>
    <row r="22" spans="1:33" ht="15.75" customHeight="1">
      <c r="A22" s="263" t="s">
        <v>33</v>
      </c>
      <c r="B22" s="161">
        <v>1300</v>
      </c>
      <c r="C22" s="161"/>
      <c r="D22" s="238"/>
      <c r="E22" s="219">
        <v>1</v>
      </c>
      <c r="F22" s="13">
        <v>1</v>
      </c>
      <c r="G22" s="13">
        <v>1</v>
      </c>
      <c r="H22" s="17" t="s">
        <v>49</v>
      </c>
      <c r="I22" s="15"/>
      <c r="J22" s="15"/>
      <c r="K22" s="13">
        <v>1</v>
      </c>
      <c r="L22" s="13">
        <v>1</v>
      </c>
      <c r="M22" s="13">
        <v>1</v>
      </c>
      <c r="N22" s="13">
        <v>1</v>
      </c>
      <c r="O22" s="17" t="s">
        <v>49</v>
      </c>
      <c r="P22" s="15"/>
      <c r="Q22" s="15"/>
      <c r="R22" s="13">
        <v>1</v>
      </c>
      <c r="S22" s="13">
        <v>1</v>
      </c>
      <c r="T22" s="13">
        <v>1</v>
      </c>
      <c r="U22" s="13" t="s">
        <v>17</v>
      </c>
      <c r="V22" s="17" t="s">
        <v>17</v>
      </c>
      <c r="W22" s="15"/>
      <c r="X22" s="15"/>
      <c r="Y22" s="17" t="s">
        <v>17</v>
      </c>
      <c r="Z22" s="13" t="s">
        <v>17</v>
      </c>
      <c r="AA22" s="13" t="s">
        <v>17</v>
      </c>
      <c r="AB22" s="13" t="s">
        <v>17</v>
      </c>
      <c r="AC22" s="17" t="s">
        <v>17</v>
      </c>
      <c r="AD22" s="18">
        <f t="shared" si="0"/>
        <v>10</v>
      </c>
      <c r="AE22" s="30">
        <f t="shared" si="1"/>
        <v>24.000000000000004</v>
      </c>
      <c r="AF22" s="31">
        <f t="shared" si="2"/>
        <v>109.1</v>
      </c>
      <c r="AG22" s="47"/>
    </row>
    <row r="23" spans="1:33" ht="15.75" customHeight="1">
      <c r="A23" s="263" t="s">
        <v>34</v>
      </c>
      <c r="B23" s="161">
        <v>1300</v>
      </c>
      <c r="C23" s="161"/>
      <c r="D23" s="238"/>
      <c r="E23" s="225" t="s">
        <v>17</v>
      </c>
      <c r="F23" s="48">
        <v>1</v>
      </c>
      <c r="G23" s="48">
        <v>1</v>
      </c>
      <c r="H23" s="49" t="s">
        <v>49</v>
      </c>
      <c r="I23" s="15"/>
      <c r="J23" s="15"/>
      <c r="K23" s="48" t="s">
        <v>17</v>
      </c>
      <c r="L23" s="48" t="s">
        <v>17</v>
      </c>
      <c r="M23" s="48">
        <v>1</v>
      </c>
      <c r="N23" s="48">
        <v>1</v>
      </c>
      <c r="O23" s="49" t="s">
        <v>49</v>
      </c>
      <c r="P23" s="15"/>
      <c r="Q23" s="15"/>
      <c r="R23" s="48" t="s">
        <v>17</v>
      </c>
      <c r="S23" s="48" t="s">
        <v>17</v>
      </c>
      <c r="T23" s="48">
        <v>1</v>
      </c>
      <c r="U23" s="48">
        <v>1</v>
      </c>
      <c r="V23" s="49">
        <v>1</v>
      </c>
      <c r="W23" s="15"/>
      <c r="X23" s="15"/>
      <c r="Y23" s="49">
        <v>1</v>
      </c>
      <c r="Z23" s="48" t="s">
        <v>13</v>
      </c>
      <c r="AA23" s="48" t="s">
        <v>13</v>
      </c>
      <c r="AB23" s="48" t="s">
        <v>13</v>
      </c>
      <c r="AC23" s="49" t="s">
        <v>13</v>
      </c>
      <c r="AD23" s="18">
        <f t="shared" si="0"/>
        <v>8</v>
      </c>
      <c r="AE23" s="30">
        <f t="shared" si="1"/>
        <v>19.200000000000003</v>
      </c>
      <c r="AF23" s="31">
        <f t="shared" si="2"/>
        <v>87.28</v>
      </c>
      <c r="AG23" s="47"/>
    </row>
    <row r="24" spans="1:33" ht="15.75" customHeight="1">
      <c r="A24" s="263" t="s">
        <v>35</v>
      </c>
      <c r="B24" s="161">
        <v>1300</v>
      </c>
      <c r="C24" s="161"/>
      <c r="D24" s="238"/>
      <c r="E24" s="226" t="s">
        <v>13</v>
      </c>
      <c r="F24" s="157" t="s">
        <v>13</v>
      </c>
      <c r="G24" s="157" t="s">
        <v>13</v>
      </c>
      <c r="H24" s="147" t="s">
        <v>13</v>
      </c>
      <c r="I24" s="22"/>
      <c r="J24" s="22"/>
      <c r="K24" s="157" t="s">
        <v>13</v>
      </c>
      <c r="L24" s="157" t="s">
        <v>13</v>
      </c>
      <c r="M24" s="157" t="s">
        <v>13</v>
      </c>
      <c r="N24" s="157" t="s">
        <v>13</v>
      </c>
      <c r="O24" s="147" t="s">
        <v>13</v>
      </c>
      <c r="P24" s="22"/>
      <c r="Q24" s="22"/>
      <c r="R24" s="157" t="s">
        <v>13</v>
      </c>
      <c r="S24" s="157" t="s">
        <v>13</v>
      </c>
      <c r="T24" s="157" t="s">
        <v>13</v>
      </c>
      <c r="U24" s="157" t="s">
        <v>13</v>
      </c>
      <c r="V24" s="147" t="s">
        <v>13</v>
      </c>
      <c r="W24" s="22"/>
      <c r="X24" s="22"/>
      <c r="Y24" s="147">
        <v>1</v>
      </c>
      <c r="Z24" s="157">
        <v>1</v>
      </c>
      <c r="AA24" s="157"/>
      <c r="AB24" s="157">
        <v>1</v>
      </c>
      <c r="AC24" s="147">
        <v>1</v>
      </c>
      <c r="AD24" s="18">
        <f t="shared" si="0"/>
        <v>4</v>
      </c>
      <c r="AE24" s="30">
        <f t="shared" si="1"/>
        <v>9.6000000000000014</v>
      </c>
      <c r="AF24" s="31">
        <f t="shared" si="2"/>
        <v>43.64</v>
      </c>
      <c r="AG24" s="47"/>
    </row>
    <row r="25" spans="1:33" ht="15.75" customHeight="1">
      <c r="A25" s="260" t="s">
        <v>37</v>
      </c>
      <c r="B25" s="161">
        <v>1300</v>
      </c>
      <c r="C25" s="161"/>
      <c r="D25" s="238"/>
      <c r="E25" s="219" t="s">
        <v>13</v>
      </c>
      <c r="F25" s="13" t="s">
        <v>13</v>
      </c>
      <c r="G25" s="13" t="s">
        <v>13</v>
      </c>
      <c r="H25" s="17" t="s">
        <v>13</v>
      </c>
      <c r="I25" s="15"/>
      <c r="J25" s="15"/>
      <c r="K25" s="13" t="s">
        <v>13</v>
      </c>
      <c r="L25" s="13" t="s">
        <v>13</v>
      </c>
      <c r="M25" s="13" t="s">
        <v>13</v>
      </c>
      <c r="N25" s="13" t="s">
        <v>13</v>
      </c>
      <c r="O25" s="17" t="s">
        <v>13</v>
      </c>
      <c r="P25" s="15"/>
      <c r="Q25" s="15"/>
      <c r="R25" s="13" t="s">
        <v>13</v>
      </c>
      <c r="S25" s="13" t="s">
        <v>13</v>
      </c>
      <c r="T25" s="13" t="s">
        <v>13</v>
      </c>
      <c r="U25" s="13" t="s">
        <v>13</v>
      </c>
      <c r="V25" s="17" t="s">
        <v>13</v>
      </c>
      <c r="W25" s="15"/>
      <c r="X25" s="15"/>
      <c r="Y25" s="17" t="s">
        <v>13</v>
      </c>
      <c r="Z25" s="13" t="s">
        <v>13</v>
      </c>
      <c r="AA25" s="13" t="s">
        <v>13</v>
      </c>
      <c r="AB25" s="13" t="s">
        <v>13</v>
      </c>
      <c r="AC25" s="17" t="s">
        <v>13</v>
      </c>
      <c r="AD25" s="18">
        <f t="shared" si="0"/>
        <v>0</v>
      </c>
      <c r="AE25" s="30">
        <f t="shared" si="1"/>
        <v>0</v>
      </c>
      <c r="AF25" s="31">
        <f t="shared" si="2"/>
        <v>0</v>
      </c>
      <c r="AG25" s="33"/>
    </row>
    <row r="26" spans="1:33" ht="15.75" customHeight="1">
      <c r="A26" s="260" t="s">
        <v>38</v>
      </c>
      <c r="B26" s="161">
        <v>1300</v>
      </c>
      <c r="C26" s="161"/>
      <c r="D26" s="238"/>
      <c r="E26" s="219">
        <v>1</v>
      </c>
      <c r="F26" s="13">
        <v>1</v>
      </c>
      <c r="G26" s="13">
        <v>1</v>
      </c>
      <c r="H26" s="17">
        <v>1</v>
      </c>
      <c r="I26" s="15"/>
      <c r="J26" s="15"/>
      <c r="K26" s="13">
        <v>1</v>
      </c>
      <c r="L26" s="13">
        <v>1</v>
      </c>
      <c r="M26" s="13">
        <v>1</v>
      </c>
      <c r="N26" s="13">
        <v>1</v>
      </c>
      <c r="O26" s="17">
        <v>1</v>
      </c>
      <c r="P26" s="15"/>
      <c r="Q26" s="15"/>
      <c r="R26" s="13">
        <v>1</v>
      </c>
      <c r="S26" s="13">
        <v>1</v>
      </c>
      <c r="T26" s="13">
        <v>1</v>
      </c>
      <c r="U26" s="13">
        <v>1</v>
      </c>
      <c r="V26" s="17">
        <v>1</v>
      </c>
      <c r="W26" s="15"/>
      <c r="X26" s="15"/>
      <c r="Y26" s="17">
        <v>1</v>
      </c>
      <c r="Z26" s="13">
        <v>1</v>
      </c>
      <c r="AA26" s="13"/>
      <c r="AB26" s="13">
        <v>1</v>
      </c>
      <c r="AC26" s="17">
        <v>1</v>
      </c>
      <c r="AD26" s="18">
        <f t="shared" si="0"/>
        <v>18</v>
      </c>
      <c r="AE26" s="30">
        <f t="shared" si="1"/>
        <v>43.2</v>
      </c>
      <c r="AF26" s="31">
        <f t="shared" si="2"/>
        <v>196.38</v>
      </c>
      <c r="AG26" s="33"/>
    </row>
    <row r="27" spans="1:33" ht="15.75" customHeight="1">
      <c r="A27" s="260" t="s">
        <v>39</v>
      </c>
      <c r="B27" s="161">
        <v>1300</v>
      </c>
      <c r="C27" s="161"/>
      <c r="D27" s="238"/>
      <c r="E27" s="219">
        <v>1</v>
      </c>
      <c r="F27" s="13" t="s">
        <v>13</v>
      </c>
      <c r="G27" s="13">
        <v>1</v>
      </c>
      <c r="H27" s="17">
        <v>1</v>
      </c>
      <c r="I27" s="52"/>
      <c r="J27" s="52"/>
      <c r="K27" s="13">
        <v>1</v>
      </c>
      <c r="L27" s="13">
        <v>1</v>
      </c>
      <c r="M27" s="13" t="s">
        <v>13</v>
      </c>
      <c r="N27" s="13">
        <v>1</v>
      </c>
      <c r="O27" s="17">
        <v>1</v>
      </c>
      <c r="P27" s="52"/>
      <c r="Q27" s="52"/>
      <c r="R27" s="13">
        <v>1</v>
      </c>
      <c r="S27" s="13">
        <v>1</v>
      </c>
      <c r="T27" s="13" t="s">
        <v>13</v>
      </c>
      <c r="U27" s="13">
        <v>1</v>
      </c>
      <c r="V27" s="17">
        <v>1</v>
      </c>
      <c r="W27" s="52"/>
      <c r="X27" s="52"/>
      <c r="Y27" s="17">
        <v>1</v>
      </c>
      <c r="Z27" s="13">
        <v>1</v>
      </c>
      <c r="AA27" s="13"/>
      <c r="AB27" s="13">
        <v>1</v>
      </c>
      <c r="AC27" s="17">
        <v>1</v>
      </c>
      <c r="AD27" s="18">
        <f t="shared" si="0"/>
        <v>15</v>
      </c>
      <c r="AE27" s="34">
        <f t="shared" si="1"/>
        <v>36.000000000000007</v>
      </c>
      <c r="AF27" s="35">
        <f t="shared" si="2"/>
        <v>163.65</v>
      </c>
      <c r="AG27" s="33"/>
    </row>
    <row r="28" spans="1:33" ht="15.75" customHeight="1">
      <c r="A28" s="260" t="s">
        <v>40</v>
      </c>
      <c r="B28" s="161">
        <v>1300</v>
      </c>
      <c r="C28" s="161"/>
      <c r="D28" s="238"/>
      <c r="E28" s="219">
        <v>1</v>
      </c>
      <c r="F28" s="13">
        <v>1</v>
      </c>
      <c r="G28" s="13">
        <v>1</v>
      </c>
      <c r="H28" s="17" t="s">
        <v>49</v>
      </c>
      <c r="I28" s="22"/>
      <c r="J28" s="22"/>
      <c r="K28" s="13">
        <v>1</v>
      </c>
      <c r="L28" s="13">
        <v>1</v>
      </c>
      <c r="M28" s="13">
        <v>1</v>
      </c>
      <c r="N28" s="13">
        <v>1</v>
      </c>
      <c r="O28" s="17" t="s">
        <v>49</v>
      </c>
      <c r="P28" s="22"/>
      <c r="Q28" s="22"/>
      <c r="R28" s="13">
        <v>1</v>
      </c>
      <c r="S28" s="13">
        <v>1</v>
      </c>
      <c r="T28" s="13">
        <v>1</v>
      </c>
      <c r="U28" s="13">
        <v>1</v>
      </c>
      <c r="V28" s="17">
        <v>1</v>
      </c>
      <c r="W28" s="22"/>
      <c r="X28" s="22"/>
      <c r="Y28" s="17">
        <v>1</v>
      </c>
      <c r="Z28" s="13">
        <v>1</v>
      </c>
      <c r="AA28" s="13"/>
      <c r="AB28" s="13">
        <v>1</v>
      </c>
      <c r="AC28" s="17">
        <v>1</v>
      </c>
      <c r="AD28" s="54">
        <f t="shared" si="0"/>
        <v>16</v>
      </c>
      <c r="AE28" s="30">
        <f t="shared" si="1"/>
        <v>38.400000000000006</v>
      </c>
      <c r="AF28" s="31">
        <f t="shared" si="2"/>
        <v>174.56</v>
      </c>
      <c r="AG28" s="33"/>
    </row>
    <row r="29" spans="1:33" ht="15.75" customHeight="1">
      <c r="A29" s="260" t="s">
        <v>41</v>
      </c>
      <c r="B29" s="161">
        <v>1300</v>
      </c>
      <c r="C29" s="161"/>
      <c r="D29" s="238"/>
      <c r="E29" s="219" t="s">
        <v>13</v>
      </c>
      <c r="F29" s="13" t="s">
        <v>13</v>
      </c>
      <c r="G29" s="13" t="s">
        <v>13</v>
      </c>
      <c r="H29" s="17" t="s">
        <v>13</v>
      </c>
      <c r="I29" s="38"/>
      <c r="J29" s="38"/>
      <c r="K29" s="13" t="s">
        <v>13</v>
      </c>
      <c r="L29" s="13" t="s">
        <v>13</v>
      </c>
      <c r="M29" s="13" t="s">
        <v>13</v>
      </c>
      <c r="N29" s="13" t="s">
        <v>13</v>
      </c>
      <c r="O29" s="17" t="s">
        <v>13</v>
      </c>
      <c r="P29" s="38"/>
      <c r="Q29" s="38"/>
      <c r="R29" s="13" t="s">
        <v>13</v>
      </c>
      <c r="S29" s="13" t="s">
        <v>13</v>
      </c>
      <c r="T29" s="13" t="s">
        <v>13</v>
      </c>
      <c r="U29" s="13">
        <v>1</v>
      </c>
      <c r="V29" s="17" t="s">
        <v>13</v>
      </c>
      <c r="W29" s="38"/>
      <c r="X29" s="38"/>
      <c r="Y29" s="17" t="s">
        <v>13</v>
      </c>
      <c r="Z29" s="13">
        <v>1</v>
      </c>
      <c r="AA29" s="13"/>
      <c r="AB29" s="13">
        <v>1</v>
      </c>
      <c r="AC29" s="17" t="s">
        <v>13</v>
      </c>
      <c r="AD29" s="55">
        <f t="shared" si="0"/>
        <v>3</v>
      </c>
      <c r="AE29" s="115">
        <f t="shared" si="1"/>
        <v>7.2000000000000011</v>
      </c>
      <c r="AF29" s="56">
        <f t="shared" si="2"/>
        <v>32.729999999999997</v>
      </c>
      <c r="AG29" s="57"/>
    </row>
    <row r="30" spans="1:33" ht="15.75" customHeight="1" thickBot="1">
      <c r="A30" s="264" t="s">
        <v>42</v>
      </c>
      <c r="B30" s="162">
        <v>1300</v>
      </c>
      <c r="C30" s="162"/>
      <c r="D30" s="241"/>
      <c r="E30" s="227" t="s">
        <v>13</v>
      </c>
      <c r="F30" s="58" t="s">
        <v>13</v>
      </c>
      <c r="G30" s="58" t="s">
        <v>13</v>
      </c>
      <c r="H30" s="60" t="s">
        <v>13</v>
      </c>
      <c r="I30" s="59"/>
      <c r="J30" s="59"/>
      <c r="K30" s="58" t="s">
        <v>13</v>
      </c>
      <c r="L30" s="58" t="s">
        <v>13</v>
      </c>
      <c r="M30" s="58" t="s">
        <v>13</v>
      </c>
      <c r="N30" s="58" t="s">
        <v>13</v>
      </c>
      <c r="O30" s="60" t="s">
        <v>13</v>
      </c>
      <c r="P30" s="59"/>
      <c r="Q30" s="59"/>
      <c r="R30" s="58" t="s">
        <v>13</v>
      </c>
      <c r="S30" s="58" t="s">
        <v>13</v>
      </c>
      <c r="T30" s="58" t="s">
        <v>13</v>
      </c>
      <c r="U30" s="58" t="s">
        <v>13</v>
      </c>
      <c r="V30" s="60" t="s">
        <v>13</v>
      </c>
      <c r="W30" s="59"/>
      <c r="X30" s="59"/>
      <c r="Y30" s="60" t="s">
        <v>13</v>
      </c>
      <c r="Z30" s="58" t="s">
        <v>13</v>
      </c>
      <c r="AA30" s="58" t="s">
        <v>13</v>
      </c>
      <c r="AB30" s="58" t="s">
        <v>13</v>
      </c>
      <c r="AC30" s="60" t="s">
        <v>13</v>
      </c>
      <c r="AD30" s="175">
        <f t="shared" si="0"/>
        <v>0</v>
      </c>
      <c r="AE30" s="176">
        <f t="shared" si="1"/>
        <v>0</v>
      </c>
      <c r="AF30" s="61">
        <f t="shared" si="2"/>
        <v>0</v>
      </c>
      <c r="AG30" s="66">
        <f>SUM(AE19:AE30)</f>
        <v>211.20000000000002</v>
      </c>
    </row>
    <row r="31" spans="1:33" ht="15.75" customHeight="1">
      <c r="A31" s="265" t="s">
        <v>43</v>
      </c>
      <c r="B31" s="215">
        <v>1400</v>
      </c>
      <c r="C31" s="215" t="s">
        <v>111</v>
      </c>
      <c r="D31" s="242"/>
      <c r="E31" s="228">
        <v>1</v>
      </c>
      <c r="F31" s="171">
        <v>1</v>
      </c>
      <c r="G31" s="171">
        <v>1</v>
      </c>
      <c r="H31" s="179" t="s">
        <v>49</v>
      </c>
      <c r="I31" s="168"/>
      <c r="J31" s="168"/>
      <c r="K31" s="171" t="s">
        <v>13</v>
      </c>
      <c r="L31" s="171">
        <v>1</v>
      </c>
      <c r="M31" s="171">
        <v>1</v>
      </c>
      <c r="N31" s="171">
        <v>1</v>
      </c>
      <c r="O31" s="179" t="s">
        <v>49</v>
      </c>
      <c r="P31" s="168"/>
      <c r="Q31" s="168"/>
      <c r="R31" s="171" t="s">
        <v>13</v>
      </c>
      <c r="S31" s="171">
        <v>1</v>
      </c>
      <c r="T31" s="171">
        <v>1</v>
      </c>
      <c r="U31" s="171">
        <v>1</v>
      </c>
      <c r="V31" s="179">
        <v>1</v>
      </c>
      <c r="W31" s="168"/>
      <c r="X31" s="168"/>
      <c r="Y31" s="179">
        <v>1</v>
      </c>
      <c r="Z31" s="171">
        <v>1</v>
      </c>
      <c r="AA31" s="171"/>
      <c r="AB31" s="171">
        <v>1</v>
      </c>
      <c r="AC31" s="179">
        <v>1</v>
      </c>
      <c r="AD31" s="55">
        <f t="shared" si="0"/>
        <v>14</v>
      </c>
      <c r="AE31" s="172">
        <f t="shared" si="1"/>
        <v>33.600000000000009</v>
      </c>
      <c r="AF31" s="173">
        <f t="shared" si="2"/>
        <v>152.74</v>
      </c>
      <c r="AG31" s="174"/>
    </row>
    <row r="32" spans="1:33" ht="15.75" customHeight="1">
      <c r="A32" s="256" t="s">
        <v>44</v>
      </c>
      <c r="B32" s="164">
        <v>1400</v>
      </c>
      <c r="C32" s="164"/>
      <c r="D32" s="237"/>
      <c r="E32" s="219" t="s">
        <v>14</v>
      </c>
      <c r="F32" s="13" t="s">
        <v>17</v>
      </c>
      <c r="G32" s="13" t="s">
        <v>17</v>
      </c>
      <c r="H32" s="17" t="s">
        <v>17</v>
      </c>
      <c r="I32" s="15"/>
      <c r="J32" s="15"/>
      <c r="K32" s="13" t="s">
        <v>14</v>
      </c>
      <c r="L32" s="13" t="s">
        <v>14</v>
      </c>
      <c r="M32" s="13" t="s">
        <v>17</v>
      </c>
      <c r="N32" s="13" t="s">
        <v>17</v>
      </c>
      <c r="O32" s="17" t="s">
        <v>17</v>
      </c>
      <c r="P32" s="15"/>
      <c r="Q32" s="15"/>
      <c r="R32" s="13" t="s">
        <v>14</v>
      </c>
      <c r="S32" s="13" t="s">
        <v>14</v>
      </c>
      <c r="T32" s="13" t="s">
        <v>17</v>
      </c>
      <c r="U32" s="13" t="s">
        <v>17</v>
      </c>
      <c r="V32" s="17" t="s">
        <v>17</v>
      </c>
      <c r="W32" s="15"/>
      <c r="X32" s="15"/>
      <c r="Y32" s="17">
        <v>1</v>
      </c>
      <c r="Z32" s="13">
        <v>1</v>
      </c>
      <c r="AA32" s="13"/>
      <c r="AB32" s="13">
        <v>1</v>
      </c>
      <c r="AC32" s="17">
        <v>1</v>
      </c>
      <c r="AD32" s="18">
        <f t="shared" si="0"/>
        <v>4</v>
      </c>
      <c r="AE32" s="27">
        <f t="shared" si="1"/>
        <v>9.6000000000000014</v>
      </c>
      <c r="AF32" s="28">
        <f t="shared" si="2"/>
        <v>43.64</v>
      </c>
      <c r="AG32" s="63"/>
    </row>
    <row r="33" spans="1:33" ht="15.75" customHeight="1">
      <c r="A33" s="259" t="s">
        <v>45</v>
      </c>
      <c r="B33" s="164">
        <v>1400</v>
      </c>
      <c r="C33" s="164"/>
      <c r="D33" s="237"/>
      <c r="E33" s="226" t="s">
        <v>13</v>
      </c>
      <c r="F33" s="157">
        <v>1</v>
      </c>
      <c r="G33" s="157">
        <v>1</v>
      </c>
      <c r="H33" s="147">
        <v>1</v>
      </c>
      <c r="I33" s="15"/>
      <c r="J33" s="15"/>
      <c r="K33" s="157" t="s">
        <v>13</v>
      </c>
      <c r="L33" s="157" t="s">
        <v>13</v>
      </c>
      <c r="M33" s="157">
        <v>1</v>
      </c>
      <c r="N33" s="157">
        <v>1</v>
      </c>
      <c r="O33" s="147">
        <v>1</v>
      </c>
      <c r="P33" s="15"/>
      <c r="Q33" s="15"/>
      <c r="R33" s="157" t="s">
        <v>13</v>
      </c>
      <c r="S33" s="157" t="s">
        <v>13</v>
      </c>
      <c r="T33" s="157">
        <v>1</v>
      </c>
      <c r="U33" s="157">
        <v>1</v>
      </c>
      <c r="V33" s="147">
        <v>1</v>
      </c>
      <c r="W33" s="15"/>
      <c r="X33" s="15"/>
      <c r="Y33" s="147">
        <v>1</v>
      </c>
      <c r="Z33" s="157">
        <v>1</v>
      </c>
      <c r="AA33" s="157"/>
      <c r="AB33" s="157">
        <v>1</v>
      </c>
      <c r="AC33" s="147">
        <v>1</v>
      </c>
      <c r="AD33" s="18">
        <f t="shared" si="0"/>
        <v>13</v>
      </c>
      <c r="AE33" s="27">
        <f t="shared" si="1"/>
        <v>31.200000000000003</v>
      </c>
      <c r="AF33" s="28">
        <f t="shared" si="2"/>
        <v>141.82999999999998</v>
      </c>
      <c r="AG33" s="63"/>
    </row>
    <row r="34" spans="1:33" ht="14.25" customHeight="1" thickBot="1">
      <c r="A34" s="259" t="s">
        <v>46</v>
      </c>
      <c r="B34" s="164">
        <v>1400</v>
      </c>
      <c r="C34" s="164"/>
      <c r="D34" s="237"/>
      <c r="E34" s="229">
        <v>1</v>
      </c>
      <c r="F34" s="51">
        <v>1</v>
      </c>
      <c r="G34" s="51">
        <v>1</v>
      </c>
      <c r="H34" s="53">
        <v>1</v>
      </c>
      <c r="I34" s="38"/>
      <c r="J34" s="38"/>
      <c r="K34" s="51">
        <v>1</v>
      </c>
      <c r="L34" s="51">
        <v>1</v>
      </c>
      <c r="M34" s="51">
        <v>1</v>
      </c>
      <c r="N34" s="51">
        <v>1</v>
      </c>
      <c r="O34" s="53">
        <v>1</v>
      </c>
      <c r="P34" s="38"/>
      <c r="Q34" s="38"/>
      <c r="R34" s="51">
        <v>1</v>
      </c>
      <c r="S34" s="51">
        <v>1</v>
      </c>
      <c r="T34" s="51">
        <v>1</v>
      </c>
      <c r="U34" s="51">
        <v>1</v>
      </c>
      <c r="V34" s="53">
        <v>1</v>
      </c>
      <c r="W34" s="38"/>
      <c r="X34" s="38"/>
      <c r="Y34" s="53">
        <v>1</v>
      </c>
      <c r="Z34" s="51">
        <v>1</v>
      </c>
      <c r="AA34" s="51"/>
      <c r="AB34" s="51">
        <v>1</v>
      </c>
      <c r="AC34" s="53">
        <v>1</v>
      </c>
      <c r="AD34" s="18">
        <f t="shared" si="0"/>
        <v>18</v>
      </c>
      <c r="AE34" s="27">
        <f t="shared" si="1"/>
        <v>43.2</v>
      </c>
      <c r="AF34" s="28">
        <f t="shared" si="2"/>
        <v>196.38</v>
      </c>
      <c r="AG34" s="29">
        <f>SUM(AE31:AE34)</f>
        <v>117.60000000000001</v>
      </c>
    </row>
    <row r="35" spans="1:33" ht="15.75" customHeight="1" thickBot="1">
      <c r="A35" s="266" t="s">
        <v>47</v>
      </c>
      <c r="B35" s="190">
        <v>1600</v>
      </c>
      <c r="C35" s="190"/>
      <c r="D35" s="243"/>
      <c r="E35" s="230">
        <v>1</v>
      </c>
      <c r="F35" s="192">
        <v>1</v>
      </c>
      <c r="G35" s="192">
        <v>1</v>
      </c>
      <c r="H35" s="194">
        <v>1</v>
      </c>
      <c r="I35" s="193"/>
      <c r="J35" s="193"/>
      <c r="K35" s="192">
        <v>1</v>
      </c>
      <c r="L35" s="192">
        <v>1</v>
      </c>
      <c r="M35" s="192">
        <v>1</v>
      </c>
      <c r="N35" s="192">
        <v>1</v>
      </c>
      <c r="O35" s="194">
        <v>1</v>
      </c>
      <c r="P35" s="193"/>
      <c r="Q35" s="193"/>
      <c r="R35" s="192">
        <v>1</v>
      </c>
      <c r="S35" s="192">
        <v>1</v>
      </c>
      <c r="T35" s="192">
        <v>1</v>
      </c>
      <c r="U35" s="192">
        <v>1</v>
      </c>
      <c r="V35" s="194">
        <v>1</v>
      </c>
      <c r="W35" s="193"/>
      <c r="X35" s="193"/>
      <c r="Y35" s="194">
        <v>1</v>
      </c>
      <c r="Z35" s="192">
        <v>1</v>
      </c>
      <c r="AA35" s="192"/>
      <c r="AB35" s="192">
        <v>1</v>
      </c>
      <c r="AC35" s="194">
        <v>1</v>
      </c>
      <c r="AD35" s="207">
        <f t="shared" si="0"/>
        <v>18</v>
      </c>
      <c r="AE35" s="208">
        <f t="shared" si="1"/>
        <v>43.2</v>
      </c>
      <c r="AF35" s="209">
        <f t="shared" si="2"/>
        <v>196.38</v>
      </c>
      <c r="AG35" s="195">
        <f>SUM(AE35)</f>
        <v>43.2</v>
      </c>
    </row>
    <row r="36" spans="1:33" ht="15.75" customHeight="1">
      <c r="A36" s="267" t="s">
        <v>48</v>
      </c>
      <c r="B36" s="202">
        <v>1900</v>
      </c>
      <c r="C36" s="202"/>
      <c r="D36" s="244"/>
      <c r="E36" s="231">
        <v>1</v>
      </c>
      <c r="F36" s="92">
        <v>1</v>
      </c>
      <c r="G36" s="92">
        <v>1</v>
      </c>
      <c r="H36" s="143" t="s">
        <v>49</v>
      </c>
      <c r="I36" s="168"/>
      <c r="J36" s="168"/>
      <c r="K36" s="92">
        <v>1</v>
      </c>
      <c r="L36" s="92">
        <v>1</v>
      </c>
      <c r="M36" s="92">
        <v>1</v>
      </c>
      <c r="N36" s="92">
        <v>1</v>
      </c>
      <c r="O36" s="143" t="s">
        <v>49</v>
      </c>
      <c r="P36" s="168"/>
      <c r="Q36" s="168"/>
      <c r="R36" s="92">
        <v>1</v>
      </c>
      <c r="S36" s="92">
        <v>1</v>
      </c>
      <c r="T36" s="92">
        <v>1</v>
      </c>
      <c r="U36" s="92">
        <v>1</v>
      </c>
      <c r="V36" s="143" t="s">
        <v>49</v>
      </c>
      <c r="W36" s="168"/>
      <c r="X36" s="168"/>
      <c r="Y36" s="143">
        <v>1</v>
      </c>
      <c r="Z36" s="92">
        <v>1</v>
      </c>
      <c r="AA36" s="92"/>
      <c r="AB36" s="92">
        <v>1</v>
      </c>
      <c r="AC36" s="143" t="s">
        <v>49</v>
      </c>
      <c r="AD36" s="203">
        <f t="shared" si="0"/>
        <v>14</v>
      </c>
      <c r="AE36" s="204">
        <f t="shared" si="1"/>
        <v>33.600000000000009</v>
      </c>
      <c r="AF36" s="205">
        <f t="shared" si="2"/>
        <v>152.74</v>
      </c>
      <c r="AG36" s="206"/>
    </row>
    <row r="37" spans="1:33" ht="15.75" customHeight="1">
      <c r="A37" s="263" t="s">
        <v>50</v>
      </c>
      <c r="B37" s="161">
        <v>1900</v>
      </c>
      <c r="C37" s="161"/>
      <c r="D37" s="238"/>
      <c r="E37" s="219">
        <v>1</v>
      </c>
      <c r="F37" s="13">
        <v>1</v>
      </c>
      <c r="G37" s="13">
        <v>1</v>
      </c>
      <c r="H37" s="17">
        <v>1</v>
      </c>
      <c r="I37" s="22"/>
      <c r="J37" s="22"/>
      <c r="K37" s="13">
        <v>1</v>
      </c>
      <c r="L37" s="13">
        <v>1</v>
      </c>
      <c r="M37" s="13">
        <v>1</v>
      </c>
      <c r="N37" s="13">
        <v>1</v>
      </c>
      <c r="O37" s="17">
        <v>1</v>
      </c>
      <c r="P37" s="22"/>
      <c r="Q37" s="22"/>
      <c r="R37" s="13">
        <v>1</v>
      </c>
      <c r="S37" s="13">
        <v>1</v>
      </c>
      <c r="T37" s="13">
        <v>1</v>
      </c>
      <c r="U37" s="13">
        <v>1</v>
      </c>
      <c r="V37" s="17">
        <v>1</v>
      </c>
      <c r="W37" s="22"/>
      <c r="X37" s="22"/>
      <c r="Y37" s="17" t="s">
        <v>15</v>
      </c>
      <c r="Z37" s="13">
        <v>1</v>
      </c>
      <c r="AA37" s="13"/>
      <c r="AB37" s="13">
        <v>1</v>
      </c>
      <c r="AC37" s="17">
        <v>1</v>
      </c>
      <c r="AD37" s="54">
        <f t="shared" ref="AD37:AD60" si="3">COUNT(E37:AC37)</f>
        <v>17</v>
      </c>
      <c r="AE37" s="30">
        <f t="shared" si="1"/>
        <v>40.800000000000004</v>
      </c>
      <c r="AF37" s="31">
        <f t="shared" si="2"/>
        <v>185.47</v>
      </c>
      <c r="AG37" s="47"/>
    </row>
    <row r="38" spans="1:33" ht="15.75" customHeight="1" thickBot="1">
      <c r="A38" s="263" t="s">
        <v>51</v>
      </c>
      <c r="B38" s="161">
        <v>1900</v>
      </c>
      <c r="C38" s="161"/>
      <c r="D38" s="238"/>
      <c r="E38" s="219" t="s">
        <v>15</v>
      </c>
      <c r="F38" s="13">
        <v>1</v>
      </c>
      <c r="G38" s="13">
        <v>1</v>
      </c>
      <c r="H38" s="17">
        <v>1</v>
      </c>
      <c r="I38" s="15"/>
      <c r="J38" s="15"/>
      <c r="K38" s="13" t="s">
        <v>15</v>
      </c>
      <c r="L38" s="13" t="s">
        <v>15</v>
      </c>
      <c r="M38" s="13">
        <v>1</v>
      </c>
      <c r="N38" s="13">
        <v>1</v>
      </c>
      <c r="O38" s="17">
        <v>1</v>
      </c>
      <c r="P38" s="15"/>
      <c r="Q38" s="15"/>
      <c r="R38" s="13" t="s">
        <v>15</v>
      </c>
      <c r="S38" s="13" t="s">
        <v>15</v>
      </c>
      <c r="T38" s="13">
        <v>1</v>
      </c>
      <c r="U38" s="13">
        <v>1</v>
      </c>
      <c r="V38" s="17">
        <v>1</v>
      </c>
      <c r="W38" s="15"/>
      <c r="X38" s="15"/>
      <c r="Y38" s="17">
        <v>1</v>
      </c>
      <c r="Z38" s="13">
        <v>1</v>
      </c>
      <c r="AA38" s="13"/>
      <c r="AB38" s="13">
        <v>1</v>
      </c>
      <c r="AC38" s="17">
        <v>1</v>
      </c>
      <c r="AD38" s="54">
        <f t="shared" si="3"/>
        <v>13</v>
      </c>
      <c r="AE38" s="30">
        <f t="shared" si="1"/>
        <v>31.200000000000003</v>
      </c>
      <c r="AF38" s="31">
        <f t="shared" si="2"/>
        <v>141.82999999999998</v>
      </c>
      <c r="AG38" s="47"/>
    </row>
    <row r="39" spans="1:33" ht="15.75" customHeight="1" thickBot="1">
      <c r="A39" s="266" t="s">
        <v>36</v>
      </c>
      <c r="B39" s="190">
        <v>1900</v>
      </c>
      <c r="C39" s="190"/>
      <c r="D39" s="243"/>
      <c r="E39" s="219">
        <v>1</v>
      </c>
      <c r="F39" s="13">
        <v>1</v>
      </c>
      <c r="G39" s="13">
        <v>1</v>
      </c>
      <c r="H39" s="17" t="s">
        <v>49</v>
      </c>
      <c r="I39" s="22"/>
      <c r="J39" s="22"/>
      <c r="K39" s="13">
        <v>1</v>
      </c>
      <c r="L39" s="13">
        <v>1</v>
      </c>
      <c r="M39" s="13">
        <v>1</v>
      </c>
      <c r="N39" s="13">
        <v>1</v>
      </c>
      <c r="O39" s="17" t="s">
        <v>49</v>
      </c>
      <c r="P39" s="22"/>
      <c r="Q39" s="22"/>
      <c r="R39" s="13">
        <v>1</v>
      </c>
      <c r="S39" s="13">
        <v>1</v>
      </c>
      <c r="T39" s="13">
        <v>1</v>
      </c>
      <c r="U39" s="13">
        <v>1</v>
      </c>
      <c r="V39" s="17">
        <v>1</v>
      </c>
      <c r="W39" s="22"/>
      <c r="X39" s="22"/>
      <c r="Y39" s="17">
        <v>1</v>
      </c>
      <c r="Z39" s="13">
        <v>1</v>
      </c>
      <c r="AA39" s="13" t="s">
        <v>15</v>
      </c>
      <c r="AB39" s="13">
        <v>1</v>
      </c>
      <c r="AC39" s="17">
        <v>1</v>
      </c>
      <c r="AD39" s="18">
        <f t="shared" si="3"/>
        <v>16</v>
      </c>
      <c r="AE39" s="30">
        <f>AD39*($B$2*20%)</f>
        <v>38.400000000000006</v>
      </c>
      <c r="AF39" s="31">
        <f>(AD39*$D$2)-AE39</f>
        <v>174.56</v>
      </c>
      <c r="AG39" s="33"/>
    </row>
    <row r="40" spans="1:33" ht="15.75" customHeight="1">
      <c r="A40" s="268" t="s">
        <v>52</v>
      </c>
      <c r="B40" s="216">
        <v>1900</v>
      </c>
      <c r="C40" s="216" t="s">
        <v>111</v>
      </c>
      <c r="D40" s="151"/>
      <c r="E40" s="222">
        <v>1</v>
      </c>
      <c r="F40" s="14">
        <v>1</v>
      </c>
      <c r="G40" s="14">
        <v>1</v>
      </c>
      <c r="H40" s="26">
        <v>1</v>
      </c>
      <c r="I40" s="15"/>
      <c r="J40" s="15"/>
      <c r="K40" s="14">
        <v>1</v>
      </c>
      <c r="L40" s="14">
        <v>1</v>
      </c>
      <c r="M40" s="14">
        <v>1</v>
      </c>
      <c r="N40" s="14">
        <v>1</v>
      </c>
      <c r="O40" s="26">
        <v>1</v>
      </c>
      <c r="P40" s="15"/>
      <c r="Q40" s="15"/>
      <c r="R40" s="14">
        <v>1</v>
      </c>
      <c r="S40" s="14">
        <v>1</v>
      </c>
      <c r="T40" s="14">
        <v>1</v>
      </c>
      <c r="U40" s="14">
        <v>1</v>
      </c>
      <c r="V40" s="26">
        <v>1</v>
      </c>
      <c r="W40" s="15"/>
      <c r="X40" s="15"/>
      <c r="Y40" s="26">
        <v>1</v>
      </c>
      <c r="Z40" s="14">
        <v>1</v>
      </c>
      <c r="AA40" s="14"/>
      <c r="AB40" s="14">
        <v>1</v>
      </c>
      <c r="AC40" s="26">
        <v>1</v>
      </c>
      <c r="AD40" s="54">
        <f t="shared" si="3"/>
        <v>18</v>
      </c>
      <c r="AE40" s="30">
        <f t="shared" si="1"/>
        <v>43.2</v>
      </c>
      <c r="AF40" s="31">
        <f t="shared" si="2"/>
        <v>196.38</v>
      </c>
      <c r="AG40" s="47"/>
    </row>
    <row r="41" spans="1:33" ht="15.75" customHeight="1">
      <c r="A41" s="263" t="s">
        <v>53</v>
      </c>
      <c r="B41" s="161">
        <v>1900</v>
      </c>
      <c r="C41" s="161"/>
      <c r="D41" s="238"/>
      <c r="E41" s="219">
        <v>1</v>
      </c>
      <c r="F41" s="13">
        <v>1</v>
      </c>
      <c r="G41" s="13">
        <v>1</v>
      </c>
      <c r="H41" s="17">
        <v>1</v>
      </c>
      <c r="I41" s="15"/>
      <c r="J41" s="15"/>
      <c r="K41" s="13">
        <v>1</v>
      </c>
      <c r="L41" s="13">
        <v>1</v>
      </c>
      <c r="M41" s="13">
        <v>1</v>
      </c>
      <c r="N41" s="13">
        <v>1</v>
      </c>
      <c r="O41" s="17">
        <v>1</v>
      </c>
      <c r="P41" s="15"/>
      <c r="Q41" s="15"/>
      <c r="R41" s="13">
        <v>1</v>
      </c>
      <c r="S41" s="13">
        <v>1</v>
      </c>
      <c r="T41" s="13">
        <v>1</v>
      </c>
      <c r="U41" s="13">
        <v>1</v>
      </c>
      <c r="V41" s="17">
        <v>1</v>
      </c>
      <c r="W41" s="15"/>
      <c r="X41" s="15"/>
      <c r="Y41" s="17">
        <v>1</v>
      </c>
      <c r="Z41" s="13">
        <v>1</v>
      </c>
      <c r="AA41" s="13"/>
      <c r="AB41" s="13">
        <v>1</v>
      </c>
      <c r="AC41" s="17">
        <v>1</v>
      </c>
      <c r="AD41" s="54">
        <f t="shared" si="3"/>
        <v>18</v>
      </c>
      <c r="AE41" s="30">
        <f t="shared" si="1"/>
        <v>43.2</v>
      </c>
      <c r="AF41" s="31">
        <f t="shared" si="2"/>
        <v>196.38</v>
      </c>
      <c r="AG41" s="47"/>
    </row>
    <row r="42" spans="1:33" ht="15.75" customHeight="1">
      <c r="A42" s="263" t="s">
        <v>54</v>
      </c>
      <c r="B42" s="161">
        <v>1900</v>
      </c>
      <c r="C42" s="161"/>
      <c r="D42" s="238"/>
      <c r="E42" s="226">
        <v>1</v>
      </c>
      <c r="F42" s="157" t="s">
        <v>13</v>
      </c>
      <c r="G42" s="157" t="s">
        <v>13</v>
      </c>
      <c r="H42" s="147" t="s">
        <v>13</v>
      </c>
      <c r="I42" s="15"/>
      <c r="J42" s="15"/>
      <c r="K42" s="157" t="s">
        <v>13</v>
      </c>
      <c r="L42" s="157">
        <v>1</v>
      </c>
      <c r="M42" s="157" t="s">
        <v>13</v>
      </c>
      <c r="N42" s="157" t="s">
        <v>13</v>
      </c>
      <c r="O42" s="147" t="s">
        <v>13</v>
      </c>
      <c r="P42" s="15"/>
      <c r="Q42" s="15"/>
      <c r="R42" s="157" t="s">
        <v>13</v>
      </c>
      <c r="S42" s="157">
        <v>1</v>
      </c>
      <c r="T42" s="157" t="s">
        <v>13</v>
      </c>
      <c r="U42" s="157" t="s">
        <v>13</v>
      </c>
      <c r="V42" s="147" t="s">
        <v>13</v>
      </c>
      <c r="W42" s="15"/>
      <c r="X42" s="15"/>
      <c r="Y42" s="147" t="s">
        <v>13</v>
      </c>
      <c r="Z42" s="157">
        <v>1</v>
      </c>
      <c r="AA42" s="157" t="s">
        <v>13</v>
      </c>
      <c r="AB42" s="157" t="s">
        <v>13</v>
      </c>
      <c r="AC42" s="147" t="s">
        <v>13</v>
      </c>
      <c r="AD42" s="54">
        <f t="shared" si="3"/>
        <v>4</v>
      </c>
      <c r="AE42" s="30">
        <f t="shared" si="1"/>
        <v>9.6000000000000014</v>
      </c>
      <c r="AF42" s="31">
        <f t="shared" si="2"/>
        <v>43.64</v>
      </c>
      <c r="AG42" s="47"/>
    </row>
    <row r="43" spans="1:33" ht="15.75" customHeight="1">
      <c r="A43" s="263" t="s">
        <v>55</v>
      </c>
      <c r="B43" s="161">
        <v>1900</v>
      </c>
      <c r="C43" s="161"/>
      <c r="D43" s="238"/>
      <c r="E43" s="222">
        <v>1</v>
      </c>
      <c r="F43" s="14">
        <v>1</v>
      </c>
      <c r="G43" s="14">
        <v>1</v>
      </c>
      <c r="H43" s="26">
        <v>1</v>
      </c>
      <c r="I43" s="15"/>
      <c r="J43" s="15"/>
      <c r="K43" s="14">
        <v>1</v>
      </c>
      <c r="L43" s="14">
        <v>1</v>
      </c>
      <c r="M43" s="14">
        <v>1</v>
      </c>
      <c r="N43" s="14">
        <v>1</v>
      </c>
      <c r="O43" s="26">
        <v>1</v>
      </c>
      <c r="P43" s="15"/>
      <c r="Q43" s="15"/>
      <c r="R43" s="14">
        <v>1</v>
      </c>
      <c r="S43" s="14">
        <v>1</v>
      </c>
      <c r="T43" s="14">
        <v>1</v>
      </c>
      <c r="U43" s="14">
        <v>1</v>
      </c>
      <c r="V43" s="26">
        <v>1</v>
      </c>
      <c r="W43" s="15"/>
      <c r="X43" s="15"/>
      <c r="Y43" s="26">
        <v>1</v>
      </c>
      <c r="Z43" s="14">
        <v>1</v>
      </c>
      <c r="AA43" s="14"/>
      <c r="AB43" s="14">
        <v>1</v>
      </c>
      <c r="AC43" s="26">
        <v>1</v>
      </c>
      <c r="AD43" s="54">
        <f t="shared" si="3"/>
        <v>18</v>
      </c>
      <c r="AE43" s="30">
        <f t="shared" si="1"/>
        <v>43.2</v>
      </c>
      <c r="AF43" s="31">
        <f t="shared" si="2"/>
        <v>196.38</v>
      </c>
      <c r="AG43" s="47"/>
    </row>
    <row r="44" spans="1:33" ht="15.75" customHeight="1">
      <c r="A44" s="263" t="s">
        <v>56</v>
      </c>
      <c r="B44" s="161">
        <v>1900</v>
      </c>
      <c r="C44" s="161"/>
      <c r="D44" s="238"/>
      <c r="E44" s="219">
        <v>1</v>
      </c>
      <c r="F44" s="13">
        <v>1</v>
      </c>
      <c r="G44" s="13">
        <v>1</v>
      </c>
      <c r="H44" s="17" t="s">
        <v>49</v>
      </c>
      <c r="I44" s="15"/>
      <c r="J44" s="15"/>
      <c r="K44" s="13">
        <v>1</v>
      </c>
      <c r="L44" s="13">
        <v>1</v>
      </c>
      <c r="M44" s="13">
        <v>1</v>
      </c>
      <c r="N44" s="13">
        <v>1</v>
      </c>
      <c r="O44" s="17" t="s">
        <v>49</v>
      </c>
      <c r="P44" s="15"/>
      <c r="Q44" s="15"/>
      <c r="R44" s="13">
        <v>1</v>
      </c>
      <c r="S44" s="13">
        <v>1</v>
      </c>
      <c r="T44" s="13">
        <v>1</v>
      </c>
      <c r="U44" s="13">
        <v>1</v>
      </c>
      <c r="V44" s="17" t="s">
        <v>49</v>
      </c>
      <c r="W44" s="15"/>
      <c r="X44" s="15"/>
      <c r="Y44" s="17">
        <v>1</v>
      </c>
      <c r="Z44" s="13">
        <v>1</v>
      </c>
      <c r="AA44" s="13"/>
      <c r="AB44" s="13">
        <v>1</v>
      </c>
      <c r="AC44" s="17" t="s">
        <v>49</v>
      </c>
      <c r="AD44" s="54">
        <f t="shared" si="3"/>
        <v>14</v>
      </c>
      <c r="AE44" s="30">
        <f t="shared" si="1"/>
        <v>33.600000000000009</v>
      </c>
      <c r="AF44" s="31">
        <f t="shared" si="2"/>
        <v>152.74</v>
      </c>
      <c r="AG44" s="47"/>
    </row>
    <row r="45" spans="1:33" ht="15.75" customHeight="1">
      <c r="A45" s="269" t="s">
        <v>57</v>
      </c>
      <c r="B45" s="216">
        <v>1900</v>
      </c>
      <c r="C45" s="216" t="s">
        <v>111</v>
      </c>
      <c r="D45" s="151"/>
      <c r="E45" s="222">
        <v>1</v>
      </c>
      <c r="F45" s="14">
        <v>1</v>
      </c>
      <c r="G45" s="14">
        <v>1</v>
      </c>
      <c r="H45" s="26" t="s">
        <v>13</v>
      </c>
      <c r="I45" s="15"/>
      <c r="J45" s="15"/>
      <c r="K45" s="14">
        <v>1</v>
      </c>
      <c r="L45" s="14">
        <v>1</v>
      </c>
      <c r="M45" s="14">
        <v>1</v>
      </c>
      <c r="N45" s="14">
        <v>1</v>
      </c>
      <c r="O45" s="26" t="s">
        <v>13</v>
      </c>
      <c r="P45" s="15"/>
      <c r="Q45" s="15"/>
      <c r="R45" s="14">
        <v>1</v>
      </c>
      <c r="S45" s="14">
        <v>1</v>
      </c>
      <c r="T45" s="14">
        <v>1</v>
      </c>
      <c r="U45" s="14">
        <v>1</v>
      </c>
      <c r="V45" s="26">
        <v>1</v>
      </c>
      <c r="W45" s="15"/>
      <c r="X45" s="15"/>
      <c r="Y45" s="26">
        <v>1</v>
      </c>
      <c r="Z45" s="14">
        <v>1</v>
      </c>
      <c r="AA45" s="14"/>
      <c r="AB45" s="14">
        <v>1</v>
      </c>
      <c r="AC45" s="26">
        <v>1</v>
      </c>
      <c r="AD45" s="54">
        <f t="shared" si="3"/>
        <v>16</v>
      </c>
      <c r="AE45" s="30">
        <f t="shared" si="1"/>
        <v>38.400000000000006</v>
      </c>
      <c r="AF45" s="31">
        <f t="shared" si="2"/>
        <v>174.56</v>
      </c>
      <c r="AG45" s="32"/>
    </row>
    <row r="46" spans="1:33" ht="15.75" customHeight="1">
      <c r="A46" s="260" t="s">
        <v>58</v>
      </c>
      <c r="B46" s="161">
        <v>1900</v>
      </c>
      <c r="C46" s="161"/>
      <c r="D46" s="238"/>
      <c r="E46" s="222">
        <v>1</v>
      </c>
      <c r="F46" s="14">
        <v>1</v>
      </c>
      <c r="G46" s="14">
        <v>1</v>
      </c>
      <c r="H46" s="26" t="s">
        <v>49</v>
      </c>
      <c r="I46" s="15"/>
      <c r="J46" s="15"/>
      <c r="K46" s="14">
        <v>1</v>
      </c>
      <c r="L46" s="14">
        <v>1</v>
      </c>
      <c r="M46" s="14">
        <v>1</v>
      </c>
      <c r="N46" s="14">
        <v>1</v>
      </c>
      <c r="O46" s="26" t="s">
        <v>49</v>
      </c>
      <c r="P46" s="15"/>
      <c r="Q46" s="15"/>
      <c r="R46" s="14">
        <v>1</v>
      </c>
      <c r="S46" s="14">
        <v>1</v>
      </c>
      <c r="T46" s="14">
        <v>1</v>
      </c>
      <c r="U46" s="14">
        <v>1</v>
      </c>
      <c r="V46" s="26">
        <v>1</v>
      </c>
      <c r="W46" s="15"/>
      <c r="X46" s="15"/>
      <c r="Y46" s="26">
        <v>1</v>
      </c>
      <c r="Z46" s="14">
        <v>1</v>
      </c>
      <c r="AA46" s="14"/>
      <c r="AB46" s="14">
        <v>1</v>
      </c>
      <c r="AC46" s="26">
        <v>1</v>
      </c>
      <c r="AD46" s="54">
        <f t="shared" si="3"/>
        <v>16</v>
      </c>
      <c r="AE46" s="30">
        <f t="shared" si="1"/>
        <v>38.400000000000006</v>
      </c>
      <c r="AF46" s="31">
        <f t="shared" si="2"/>
        <v>174.56</v>
      </c>
      <c r="AG46" s="33"/>
    </row>
    <row r="47" spans="1:33" ht="15.75" customHeight="1">
      <c r="A47" s="260" t="s">
        <v>59</v>
      </c>
      <c r="B47" s="161">
        <v>1900</v>
      </c>
      <c r="C47" s="161"/>
      <c r="D47" s="238"/>
      <c r="E47" s="222">
        <v>1</v>
      </c>
      <c r="F47" s="14">
        <v>1</v>
      </c>
      <c r="G47" s="14">
        <v>1</v>
      </c>
      <c r="H47" s="26" t="s">
        <v>49</v>
      </c>
      <c r="I47" s="15"/>
      <c r="J47" s="15"/>
      <c r="K47" s="14">
        <v>1</v>
      </c>
      <c r="L47" s="14">
        <v>1</v>
      </c>
      <c r="M47" s="14">
        <v>1</v>
      </c>
      <c r="N47" s="14">
        <v>1</v>
      </c>
      <c r="O47" s="26" t="s">
        <v>49</v>
      </c>
      <c r="P47" s="15"/>
      <c r="Q47" s="15"/>
      <c r="R47" s="14">
        <v>1</v>
      </c>
      <c r="S47" s="14">
        <v>1</v>
      </c>
      <c r="T47" s="14">
        <v>1</v>
      </c>
      <c r="U47" s="14">
        <v>1</v>
      </c>
      <c r="V47" s="26" t="s">
        <v>49</v>
      </c>
      <c r="W47" s="15"/>
      <c r="X47" s="15"/>
      <c r="Y47" s="26">
        <v>1</v>
      </c>
      <c r="Z47" s="14">
        <v>1</v>
      </c>
      <c r="AA47" s="14"/>
      <c r="AB47" s="14">
        <v>1</v>
      </c>
      <c r="AC47" s="26">
        <v>1</v>
      </c>
      <c r="AD47" s="54">
        <f t="shared" si="3"/>
        <v>15</v>
      </c>
      <c r="AE47" s="30">
        <f t="shared" si="1"/>
        <v>36.000000000000007</v>
      </c>
      <c r="AF47" s="31">
        <f t="shared" si="2"/>
        <v>163.65</v>
      </c>
      <c r="AG47" s="33"/>
    </row>
    <row r="48" spans="1:33" ht="15.75" customHeight="1">
      <c r="A48" s="269" t="s">
        <v>60</v>
      </c>
      <c r="B48" s="216">
        <v>1900</v>
      </c>
      <c r="C48" s="216" t="s">
        <v>111</v>
      </c>
      <c r="D48" s="151"/>
      <c r="E48" s="222" t="s">
        <v>13</v>
      </c>
      <c r="F48" s="14" t="s">
        <v>13</v>
      </c>
      <c r="G48" s="14" t="s">
        <v>13</v>
      </c>
      <c r="H48" s="26" t="s">
        <v>13</v>
      </c>
      <c r="I48" s="15"/>
      <c r="J48" s="15"/>
      <c r="K48" s="14" t="s">
        <v>13</v>
      </c>
      <c r="L48" s="14" t="s">
        <v>13</v>
      </c>
      <c r="M48" s="14" t="s">
        <v>13</v>
      </c>
      <c r="N48" s="14" t="s">
        <v>13</v>
      </c>
      <c r="O48" s="26" t="s">
        <v>13</v>
      </c>
      <c r="P48" s="15"/>
      <c r="Q48" s="15"/>
      <c r="R48" s="14" t="s">
        <v>13</v>
      </c>
      <c r="S48" s="14" t="s">
        <v>13</v>
      </c>
      <c r="T48" s="14" t="s">
        <v>13</v>
      </c>
      <c r="U48" s="14">
        <v>1</v>
      </c>
      <c r="V48" s="26">
        <v>1</v>
      </c>
      <c r="W48" s="15"/>
      <c r="X48" s="15"/>
      <c r="Y48" s="26">
        <v>1</v>
      </c>
      <c r="Z48" s="14">
        <v>1</v>
      </c>
      <c r="AA48" s="14"/>
      <c r="AB48" s="14">
        <v>1</v>
      </c>
      <c r="AC48" s="26">
        <v>1</v>
      </c>
      <c r="AD48" s="54">
        <f t="shared" si="3"/>
        <v>6</v>
      </c>
      <c r="AE48" s="30">
        <f t="shared" si="1"/>
        <v>14.400000000000002</v>
      </c>
      <c r="AF48" s="31">
        <f t="shared" si="2"/>
        <v>65.459999999999994</v>
      </c>
      <c r="AG48" s="33"/>
    </row>
    <row r="49" spans="1:33" ht="15.75" customHeight="1">
      <c r="A49" s="270" t="s">
        <v>29</v>
      </c>
      <c r="B49" s="163">
        <v>1900</v>
      </c>
      <c r="C49" s="163"/>
      <c r="D49" s="245"/>
      <c r="E49" s="222">
        <v>1</v>
      </c>
      <c r="F49" s="14">
        <v>1</v>
      </c>
      <c r="G49" s="14">
        <v>1</v>
      </c>
      <c r="H49" s="26">
        <v>1</v>
      </c>
      <c r="I49" s="38"/>
      <c r="J49" s="38"/>
      <c r="K49" s="14">
        <v>1</v>
      </c>
      <c r="L49" s="14">
        <v>1</v>
      </c>
      <c r="M49" s="14">
        <v>1</v>
      </c>
      <c r="N49" s="14">
        <v>1</v>
      </c>
      <c r="O49" s="26">
        <v>1</v>
      </c>
      <c r="P49" s="38"/>
      <c r="Q49" s="38"/>
      <c r="R49" s="14">
        <v>1</v>
      </c>
      <c r="S49" s="14">
        <v>1</v>
      </c>
      <c r="T49" s="14">
        <v>1</v>
      </c>
      <c r="U49" s="14">
        <v>1</v>
      </c>
      <c r="V49" s="26">
        <v>1</v>
      </c>
      <c r="W49" s="38"/>
      <c r="X49" s="38"/>
      <c r="Y49" s="26">
        <v>1</v>
      </c>
      <c r="Z49" s="14">
        <v>1</v>
      </c>
      <c r="AA49" s="14"/>
      <c r="AB49" s="14">
        <v>1</v>
      </c>
      <c r="AC49" s="26">
        <v>1</v>
      </c>
      <c r="AD49" s="64">
        <f t="shared" si="3"/>
        <v>18</v>
      </c>
      <c r="AE49" s="30">
        <f t="shared" si="1"/>
        <v>43.2</v>
      </c>
      <c r="AF49" s="35">
        <f t="shared" si="2"/>
        <v>196.38</v>
      </c>
      <c r="AG49" s="36"/>
    </row>
    <row r="50" spans="1:33" ht="15.75" customHeight="1">
      <c r="A50" s="270" t="s">
        <v>61</v>
      </c>
      <c r="B50" s="163">
        <v>1900</v>
      </c>
      <c r="C50" s="163"/>
      <c r="D50" s="245"/>
      <c r="E50" s="222">
        <v>1</v>
      </c>
      <c r="F50" s="14">
        <v>1</v>
      </c>
      <c r="G50" s="14">
        <v>1</v>
      </c>
      <c r="H50" s="26">
        <v>1</v>
      </c>
      <c r="I50" s="38"/>
      <c r="J50" s="38"/>
      <c r="K50" s="14">
        <v>1</v>
      </c>
      <c r="L50" s="14">
        <v>1</v>
      </c>
      <c r="M50" s="14">
        <v>1</v>
      </c>
      <c r="N50" s="14">
        <v>1</v>
      </c>
      <c r="O50" s="26">
        <v>1</v>
      </c>
      <c r="P50" s="38"/>
      <c r="Q50" s="38"/>
      <c r="R50" s="14">
        <v>1</v>
      </c>
      <c r="S50" s="14">
        <v>1</v>
      </c>
      <c r="T50" s="14">
        <v>1</v>
      </c>
      <c r="U50" s="14">
        <v>1</v>
      </c>
      <c r="V50" s="26">
        <v>1</v>
      </c>
      <c r="W50" s="38"/>
      <c r="X50" s="38"/>
      <c r="Y50" s="26">
        <v>1</v>
      </c>
      <c r="Z50" s="14">
        <v>1</v>
      </c>
      <c r="AA50" s="14"/>
      <c r="AB50" s="14">
        <v>1</v>
      </c>
      <c r="AC50" s="26">
        <v>1</v>
      </c>
      <c r="AD50" s="64">
        <f t="shared" si="3"/>
        <v>18</v>
      </c>
      <c r="AE50" s="34">
        <f t="shared" si="1"/>
        <v>43.2</v>
      </c>
      <c r="AF50" s="35">
        <f t="shared" si="2"/>
        <v>196.38</v>
      </c>
      <c r="AG50" s="36"/>
    </row>
    <row r="51" spans="1:33" ht="15.75" customHeight="1" thickBot="1">
      <c r="A51" s="270" t="s">
        <v>62</v>
      </c>
      <c r="B51" s="163">
        <v>1900</v>
      </c>
      <c r="C51" s="163"/>
      <c r="D51" s="245"/>
      <c r="E51" s="232">
        <v>1</v>
      </c>
      <c r="F51" s="37">
        <v>1</v>
      </c>
      <c r="G51" s="37">
        <v>1</v>
      </c>
      <c r="H51" s="39">
        <v>1</v>
      </c>
      <c r="I51" s="38"/>
      <c r="J51" s="38"/>
      <c r="K51" s="37">
        <v>1</v>
      </c>
      <c r="L51" s="37">
        <v>1</v>
      </c>
      <c r="M51" s="37">
        <v>1</v>
      </c>
      <c r="N51" s="37">
        <v>1</v>
      </c>
      <c r="O51" s="39">
        <v>1</v>
      </c>
      <c r="P51" s="38"/>
      <c r="Q51" s="38"/>
      <c r="R51" s="37">
        <v>1</v>
      </c>
      <c r="S51" s="37">
        <v>1</v>
      </c>
      <c r="T51" s="37">
        <v>1</v>
      </c>
      <c r="U51" s="37">
        <v>1</v>
      </c>
      <c r="V51" s="39">
        <v>1</v>
      </c>
      <c r="W51" s="38"/>
      <c r="X51" s="38"/>
      <c r="Y51" s="39">
        <v>1</v>
      </c>
      <c r="Z51" s="37">
        <v>1</v>
      </c>
      <c r="AA51" s="37"/>
      <c r="AB51" s="37">
        <v>1</v>
      </c>
      <c r="AC51" s="39">
        <v>1</v>
      </c>
      <c r="AD51" s="64">
        <f t="shared" si="3"/>
        <v>18</v>
      </c>
      <c r="AE51" s="34">
        <f t="shared" si="1"/>
        <v>43.2</v>
      </c>
      <c r="AF51" s="35">
        <f t="shared" si="2"/>
        <v>196.38</v>
      </c>
      <c r="AG51" s="36">
        <f>SUM(AE36:AE51)</f>
        <v>573.6</v>
      </c>
    </row>
    <row r="52" spans="1:33" ht="15.75" customHeight="1">
      <c r="A52" s="262" t="s">
        <v>64</v>
      </c>
      <c r="B52" s="214">
        <v>2100</v>
      </c>
      <c r="C52" s="214" t="s">
        <v>111</v>
      </c>
      <c r="D52" s="240"/>
      <c r="E52" s="233" t="s">
        <v>49</v>
      </c>
      <c r="F52" s="8" t="s">
        <v>49</v>
      </c>
      <c r="G52" s="8" t="s">
        <v>49</v>
      </c>
      <c r="H52" s="62" t="s">
        <v>49</v>
      </c>
      <c r="I52" s="7"/>
      <c r="J52" s="7"/>
      <c r="K52" s="8" t="s">
        <v>49</v>
      </c>
      <c r="L52" s="8" t="s">
        <v>49</v>
      </c>
      <c r="M52" s="8" t="s">
        <v>49</v>
      </c>
      <c r="N52" s="8" t="s">
        <v>49</v>
      </c>
      <c r="O52" s="62" t="s">
        <v>49</v>
      </c>
      <c r="P52" s="7"/>
      <c r="Q52" s="7"/>
      <c r="R52" s="8" t="s">
        <v>49</v>
      </c>
      <c r="S52" s="8" t="s">
        <v>49</v>
      </c>
      <c r="T52" s="8" t="s">
        <v>49</v>
      </c>
      <c r="U52" s="8" t="s">
        <v>49</v>
      </c>
      <c r="V52" s="62" t="s">
        <v>49</v>
      </c>
      <c r="W52" s="7"/>
      <c r="X52" s="7"/>
      <c r="Y52" s="62" t="s">
        <v>49</v>
      </c>
      <c r="Z52" s="8" t="s">
        <v>49</v>
      </c>
      <c r="AA52" s="8"/>
      <c r="AB52" s="8" t="s">
        <v>49</v>
      </c>
      <c r="AC52" s="62" t="s">
        <v>49</v>
      </c>
      <c r="AD52" s="118">
        <f t="shared" si="3"/>
        <v>0</v>
      </c>
      <c r="AE52" s="67">
        <f t="shared" si="1"/>
        <v>0</v>
      </c>
      <c r="AF52" s="68"/>
      <c r="AG52" s="184"/>
    </row>
    <row r="53" spans="1:33" ht="15.75" customHeight="1">
      <c r="A53" s="263" t="s">
        <v>65</v>
      </c>
      <c r="B53" s="161">
        <v>2100</v>
      </c>
      <c r="C53" s="161"/>
      <c r="D53" s="238"/>
      <c r="E53" s="219">
        <v>1</v>
      </c>
      <c r="F53" s="13">
        <v>1</v>
      </c>
      <c r="G53" s="13">
        <v>1</v>
      </c>
      <c r="H53" s="17">
        <v>1</v>
      </c>
      <c r="I53" s="15"/>
      <c r="J53" s="15"/>
      <c r="K53" s="13">
        <v>1</v>
      </c>
      <c r="L53" s="13">
        <v>1</v>
      </c>
      <c r="M53" s="13">
        <v>1</v>
      </c>
      <c r="N53" s="13">
        <v>1</v>
      </c>
      <c r="O53" s="17">
        <v>1</v>
      </c>
      <c r="P53" s="15"/>
      <c r="Q53" s="15"/>
      <c r="R53" s="13">
        <v>1</v>
      </c>
      <c r="S53" s="13">
        <v>1</v>
      </c>
      <c r="T53" s="13">
        <v>1</v>
      </c>
      <c r="U53" s="13" t="s">
        <v>17</v>
      </c>
      <c r="V53" s="17" t="s">
        <v>17</v>
      </c>
      <c r="W53" s="15"/>
      <c r="X53" s="15"/>
      <c r="Y53" s="17" t="s">
        <v>17</v>
      </c>
      <c r="Z53" s="13" t="s">
        <v>17</v>
      </c>
      <c r="AA53" s="13" t="s">
        <v>17</v>
      </c>
      <c r="AB53" s="13" t="s">
        <v>17</v>
      </c>
      <c r="AC53" s="17" t="s">
        <v>17</v>
      </c>
      <c r="AD53" s="116">
        <f t="shared" si="3"/>
        <v>12</v>
      </c>
      <c r="AE53" s="69">
        <f t="shared" si="1"/>
        <v>28.800000000000004</v>
      </c>
      <c r="AF53" s="186">
        <f t="shared" si="2"/>
        <v>130.91999999999999</v>
      </c>
      <c r="AG53" s="47"/>
    </row>
    <row r="54" spans="1:33" ht="15.75" customHeight="1" thickBot="1">
      <c r="A54" s="268" t="s">
        <v>66</v>
      </c>
      <c r="B54" s="216">
        <v>2100</v>
      </c>
      <c r="C54" s="216" t="s">
        <v>111</v>
      </c>
      <c r="D54" s="151"/>
      <c r="E54" s="219">
        <v>1</v>
      </c>
      <c r="F54" s="13">
        <v>1</v>
      </c>
      <c r="G54" s="13">
        <v>1</v>
      </c>
      <c r="H54" s="17">
        <v>1</v>
      </c>
      <c r="I54" s="15"/>
      <c r="J54" s="15"/>
      <c r="K54" s="13">
        <v>1</v>
      </c>
      <c r="L54" s="13">
        <v>1</v>
      </c>
      <c r="M54" s="13">
        <v>1</v>
      </c>
      <c r="N54" s="13">
        <v>1</v>
      </c>
      <c r="O54" s="17">
        <v>1</v>
      </c>
      <c r="P54" s="15"/>
      <c r="Q54" s="15"/>
      <c r="R54" s="13">
        <v>1</v>
      </c>
      <c r="S54" s="13">
        <v>1</v>
      </c>
      <c r="T54" s="13">
        <v>1</v>
      </c>
      <c r="U54" s="13">
        <v>1</v>
      </c>
      <c r="V54" s="17">
        <v>1</v>
      </c>
      <c r="W54" s="15"/>
      <c r="X54" s="15"/>
      <c r="Y54" s="17">
        <v>1</v>
      </c>
      <c r="Z54" s="13">
        <v>1</v>
      </c>
      <c r="AA54" s="13"/>
      <c r="AB54" s="13">
        <v>1</v>
      </c>
      <c r="AC54" s="17">
        <v>1</v>
      </c>
      <c r="AD54" s="116">
        <f t="shared" si="3"/>
        <v>18</v>
      </c>
      <c r="AE54" s="69">
        <f t="shared" si="1"/>
        <v>43.2</v>
      </c>
      <c r="AF54" s="186">
        <f t="shared" si="2"/>
        <v>196.38</v>
      </c>
      <c r="AG54" s="47"/>
    </row>
    <row r="55" spans="1:33" ht="15.75" customHeight="1">
      <c r="A55" s="263" t="s">
        <v>67</v>
      </c>
      <c r="B55" s="161">
        <v>2100</v>
      </c>
      <c r="C55" s="161"/>
      <c r="D55" s="238"/>
      <c r="E55" s="219" t="s">
        <v>12</v>
      </c>
      <c r="F55" s="13">
        <v>1</v>
      </c>
      <c r="G55" s="13">
        <v>1</v>
      </c>
      <c r="H55" s="17" t="s">
        <v>12</v>
      </c>
      <c r="I55" s="15"/>
      <c r="J55" s="15"/>
      <c r="K55" s="13" t="s">
        <v>12</v>
      </c>
      <c r="L55" s="13" t="s">
        <v>12</v>
      </c>
      <c r="M55" s="13">
        <v>1</v>
      </c>
      <c r="N55" s="13">
        <v>1</v>
      </c>
      <c r="O55" s="17" t="s">
        <v>12</v>
      </c>
      <c r="P55" s="15"/>
      <c r="Q55" s="15"/>
      <c r="R55" s="13" t="s">
        <v>12</v>
      </c>
      <c r="S55" s="13" t="s">
        <v>12</v>
      </c>
      <c r="T55" s="13">
        <v>1</v>
      </c>
      <c r="U55" s="13" t="s">
        <v>12</v>
      </c>
      <c r="V55" s="17" t="s">
        <v>12</v>
      </c>
      <c r="W55" s="15"/>
      <c r="X55" s="15"/>
      <c r="Y55" s="17" t="s">
        <v>12</v>
      </c>
      <c r="Z55" s="13">
        <v>1</v>
      </c>
      <c r="AA55" s="8" t="s">
        <v>49</v>
      </c>
      <c r="AB55" s="13">
        <v>1</v>
      </c>
      <c r="AC55" s="17" t="s">
        <v>12</v>
      </c>
      <c r="AD55" s="116">
        <f t="shared" si="3"/>
        <v>7</v>
      </c>
      <c r="AE55" s="69">
        <f t="shared" si="1"/>
        <v>16.800000000000004</v>
      </c>
      <c r="AF55" s="186">
        <f t="shared" si="2"/>
        <v>76.37</v>
      </c>
      <c r="AG55" s="47"/>
    </row>
    <row r="56" spans="1:33" ht="15.75" customHeight="1" thickBot="1">
      <c r="A56" s="264" t="s">
        <v>68</v>
      </c>
      <c r="B56" s="162">
        <v>2100</v>
      </c>
      <c r="C56" s="162"/>
      <c r="D56" s="241"/>
      <c r="E56" s="227">
        <v>1</v>
      </c>
      <c r="F56" s="58">
        <v>1</v>
      </c>
      <c r="G56" s="58">
        <v>1</v>
      </c>
      <c r="H56" s="60">
        <v>1</v>
      </c>
      <c r="I56" s="59"/>
      <c r="J56" s="59"/>
      <c r="K56" s="58">
        <v>1</v>
      </c>
      <c r="L56" s="58">
        <v>1</v>
      </c>
      <c r="M56" s="58">
        <v>1</v>
      </c>
      <c r="N56" s="58">
        <v>1</v>
      </c>
      <c r="O56" s="60">
        <v>1</v>
      </c>
      <c r="P56" s="59"/>
      <c r="Q56" s="59"/>
      <c r="R56" s="58">
        <v>1</v>
      </c>
      <c r="S56" s="58">
        <v>1</v>
      </c>
      <c r="T56" s="58">
        <v>1</v>
      </c>
      <c r="U56" s="58">
        <v>1</v>
      </c>
      <c r="V56" s="60">
        <v>1</v>
      </c>
      <c r="W56" s="59"/>
      <c r="X56" s="59"/>
      <c r="Y56" s="60">
        <v>1</v>
      </c>
      <c r="Z56" s="58">
        <v>1</v>
      </c>
      <c r="AA56" s="58"/>
      <c r="AB56" s="58">
        <v>1</v>
      </c>
      <c r="AC56" s="60">
        <v>1</v>
      </c>
      <c r="AD56" s="119">
        <f t="shared" si="3"/>
        <v>18</v>
      </c>
      <c r="AE56" s="70">
        <f t="shared" si="1"/>
        <v>43.2</v>
      </c>
      <c r="AF56" s="188">
        <f t="shared" si="2"/>
        <v>196.38</v>
      </c>
      <c r="AG56" s="191">
        <f>SUM(AF53:AF56)</f>
        <v>600.04999999999995</v>
      </c>
    </row>
    <row r="57" spans="1:33" ht="15.75" customHeight="1" thickBot="1">
      <c r="A57" s="271" t="s">
        <v>69</v>
      </c>
      <c r="B57" s="189">
        <v>3100</v>
      </c>
      <c r="C57" s="189"/>
      <c r="D57" s="246"/>
      <c r="E57" s="233">
        <v>1</v>
      </c>
      <c r="F57" s="8">
        <v>1</v>
      </c>
      <c r="G57" s="8">
        <v>1</v>
      </c>
      <c r="H57" s="62" t="s">
        <v>12</v>
      </c>
      <c r="I57" s="7"/>
      <c r="J57" s="7"/>
      <c r="K57" s="8">
        <v>1</v>
      </c>
      <c r="L57" s="8">
        <v>1</v>
      </c>
      <c r="M57" s="8">
        <v>1</v>
      </c>
      <c r="N57" s="8">
        <v>1</v>
      </c>
      <c r="O57" s="62" t="s">
        <v>12</v>
      </c>
      <c r="P57" s="7"/>
      <c r="Q57" s="7"/>
      <c r="R57" s="8">
        <v>1</v>
      </c>
      <c r="S57" s="8">
        <v>1</v>
      </c>
      <c r="T57" s="8">
        <v>1</v>
      </c>
      <c r="U57" s="8" t="s">
        <v>49</v>
      </c>
      <c r="V57" s="62" t="s">
        <v>12</v>
      </c>
      <c r="W57" s="7"/>
      <c r="X57" s="7"/>
      <c r="Y57" s="62">
        <v>1</v>
      </c>
      <c r="Z57" s="8" t="s">
        <v>12</v>
      </c>
      <c r="AA57" s="8" t="s">
        <v>49</v>
      </c>
      <c r="AB57" s="8">
        <v>1</v>
      </c>
      <c r="AC57" s="62" t="s">
        <v>12</v>
      </c>
      <c r="AD57" s="118">
        <f t="shared" si="3"/>
        <v>12</v>
      </c>
      <c r="AE57" s="67">
        <f t="shared" si="1"/>
        <v>28.800000000000004</v>
      </c>
      <c r="AF57" s="187">
        <f>(AD57*$D$2)-AE57</f>
        <v>130.91999999999999</v>
      </c>
      <c r="AG57" s="185"/>
    </row>
    <row r="58" spans="1:33" ht="15.75" customHeight="1">
      <c r="A58" s="263" t="s">
        <v>70</v>
      </c>
      <c r="B58" s="161">
        <v>3100</v>
      </c>
      <c r="C58" s="161"/>
      <c r="D58" s="238"/>
      <c r="E58" s="222">
        <v>1</v>
      </c>
      <c r="F58" s="14">
        <v>1</v>
      </c>
      <c r="G58" s="14">
        <v>1</v>
      </c>
      <c r="H58" s="26">
        <v>1</v>
      </c>
      <c r="I58" s="15"/>
      <c r="J58" s="15"/>
      <c r="K58" s="14">
        <v>1</v>
      </c>
      <c r="L58" s="14">
        <v>1</v>
      </c>
      <c r="M58" s="14">
        <v>1</v>
      </c>
      <c r="N58" s="14">
        <v>1</v>
      </c>
      <c r="O58" s="26">
        <v>1</v>
      </c>
      <c r="P58" s="15"/>
      <c r="Q58" s="15"/>
      <c r="R58" s="14">
        <v>1</v>
      </c>
      <c r="S58" s="14">
        <v>1</v>
      </c>
      <c r="T58" s="14">
        <v>1</v>
      </c>
      <c r="U58" s="14" t="s">
        <v>49</v>
      </c>
      <c r="V58" s="26">
        <v>1</v>
      </c>
      <c r="W58" s="15"/>
      <c r="X58" s="15"/>
      <c r="Y58" s="26">
        <v>1</v>
      </c>
      <c r="Z58" s="14">
        <v>1</v>
      </c>
      <c r="AA58" s="8" t="s">
        <v>49</v>
      </c>
      <c r="AB58" s="14">
        <v>1</v>
      </c>
      <c r="AC58" s="26">
        <v>1</v>
      </c>
      <c r="AD58" s="116">
        <f t="shared" si="3"/>
        <v>17</v>
      </c>
      <c r="AE58" s="69">
        <f t="shared" si="1"/>
        <v>40.800000000000004</v>
      </c>
      <c r="AF58" s="186">
        <f>(AD58*$D$2)-AE58</f>
        <v>185.47</v>
      </c>
      <c r="AG58" s="47"/>
    </row>
    <row r="59" spans="1:33" ht="14.25" customHeight="1" thickBot="1">
      <c r="A59" s="263" t="s">
        <v>71</v>
      </c>
      <c r="B59" s="161">
        <v>3100</v>
      </c>
      <c r="C59" s="161"/>
      <c r="D59" s="238"/>
      <c r="E59" s="222">
        <v>1</v>
      </c>
      <c r="F59" s="14">
        <v>1</v>
      </c>
      <c r="G59" s="14">
        <v>1</v>
      </c>
      <c r="H59" s="26">
        <v>1</v>
      </c>
      <c r="I59" s="15"/>
      <c r="J59" s="15"/>
      <c r="K59" s="14">
        <v>1</v>
      </c>
      <c r="L59" s="14">
        <v>1</v>
      </c>
      <c r="M59" s="14">
        <v>1</v>
      </c>
      <c r="N59" s="14">
        <v>1</v>
      </c>
      <c r="O59" s="26">
        <v>1</v>
      </c>
      <c r="P59" s="15"/>
      <c r="Q59" s="15"/>
      <c r="R59" s="14">
        <v>1</v>
      </c>
      <c r="S59" s="14">
        <v>1</v>
      </c>
      <c r="T59" s="14">
        <v>1</v>
      </c>
      <c r="U59" s="14" t="s">
        <v>49</v>
      </c>
      <c r="V59" s="26">
        <v>1</v>
      </c>
      <c r="W59" s="15"/>
      <c r="X59" s="15"/>
      <c r="Y59" s="26">
        <v>1</v>
      </c>
      <c r="Z59" s="14">
        <v>1</v>
      </c>
      <c r="AA59" s="14"/>
      <c r="AB59" s="14">
        <v>1</v>
      </c>
      <c r="AC59" s="26">
        <v>1</v>
      </c>
      <c r="AD59" s="116">
        <f t="shared" si="3"/>
        <v>17</v>
      </c>
      <c r="AE59" s="69">
        <f t="shared" si="1"/>
        <v>40.800000000000004</v>
      </c>
      <c r="AF59" s="186">
        <f>(AD59*$D$2)-AE59</f>
        <v>185.47</v>
      </c>
      <c r="AG59" s="47"/>
    </row>
    <row r="60" spans="1:33" ht="15.75" customHeight="1">
      <c r="A60" s="260" t="s">
        <v>72</v>
      </c>
      <c r="B60" s="161">
        <v>3100</v>
      </c>
      <c r="C60" s="161"/>
      <c r="D60" s="238"/>
      <c r="E60" s="222">
        <v>1</v>
      </c>
      <c r="F60" s="14">
        <v>1</v>
      </c>
      <c r="G60" s="14">
        <v>1</v>
      </c>
      <c r="H60" s="26">
        <v>1</v>
      </c>
      <c r="I60" s="123"/>
      <c r="J60" s="123"/>
      <c r="K60" s="14">
        <v>1</v>
      </c>
      <c r="L60" s="14">
        <v>1</v>
      </c>
      <c r="M60" s="14">
        <v>1</v>
      </c>
      <c r="N60" s="14">
        <v>1</v>
      </c>
      <c r="O60" s="26">
        <v>1</v>
      </c>
      <c r="P60" s="123"/>
      <c r="Q60" s="123"/>
      <c r="R60" s="14">
        <v>1</v>
      </c>
      <c r="S60" s="14">
        <v>1</v>
      </c>
      <c r="T60" s="14">
        <v>1</v>
      </c>
      <c r="U60" s="14" t="s">
        <v>49</v>
      </c>
      <c r="V60" s="26">
        <v>1</v>
      </c>
      <c r="W60" s="123"/>
      <c r="X60" s="123"/>
      <c r="Y60" s="26">
        <v>1</v>
      </c>
      <c r="Z60" s="14">
        <v>1</v>
      </c>
      <c r="AA60" s="8" t="s">
        <v>49</v>
      </c>
      <c r="AB60" s="14">
        <v>1</v>
      </c>
      <c r="AC60" s="26">
        <v>1</v>
      </c>
      <c r="AD60" s="116">
        <f t="shared" si="3"/>
        <v>17</v>
      </c>
      <c r="AE60" s="69">
        <f t="shared" si="1"/>
        <v>40.800000000000004</v>
      </c>
      <c r="AF60" s="186">
        <f>(AD60*$D$2)-AE60</f>
        <v>185.47</v>
      </c>
      <c r="AG60" s="33"/>
    </row>
    <row r="61" spans="1:33" ht="15" customHeight="1" thickBot="1">
      <c r="A61" s="272" t="s">
        <v>109</v>
      </c>
      <c r="B61" s="217">
        <v>3100</v>
      </c>
      <c r="C61" s="217" t="s">
        <v>111</v>
      </c>
      <c r="D61" s="247"/>
      <c r="E61" s="196"/>
      <c r="F61" s="196"/>
      <c r="G61" s="196"/>
      <c r="H61" s="196"/>
      <c r="I61" s="197"/>
      <c r="J61" s="198"/>
      <c r="K61" s="196"/>
      <c r="L61" s="196"/>
      <c r="M61" s="196"/>
      <c r="N61" s="196"/>
      <c r="O61" s="196"/>
      <c r="P61" s="197"/>
      <c r="Q61" s="198"/>
      <c r="R61" s="196"/>
      <c r="S61" s="196"/>
      <c r="T61" s="196"/>
      <c r="U61" s="196"/>
      <c r="V61" s="196"/>
      <c r="W61" s="197"/>
      <c r="X61" s="198"/>
      <c r="Y61" s="196"/>
      <c r="Z61" s="196"/>
      <c r="AA61" s="196"/>
      <c r="AB61" s="196">
        <v>1</v>
      </c>
      <c r="AC61" s="196">
        <v>1</v>
      </c>
      <c r="AD61" s="199"/>
      <c r="AE61" s="176"/>
      <c r="AF61" s="200"/>
      <c r="AG61" s="201"/>
    </row>
    <row r="62" spans="1:33" ht="12" customHeight="1" thickBot="1">
      <c r="A62" s="273"/>
      <c r="B62" s="72"/>
      <c r="C62" s="72"/>
      <c r="D62" s="71"/>
      <c r="E62" s="71">
        <f t="shared" ref="E62:Z62" si="4">SUM(E5:E60)</f>
        <v>39</v>
      </c>
      <c r="F62" s="71">
        <f t="shared" si="4"/>
        <v>41</v>
      </c>
      <c r="G62" s="71">
        <f t="shared" si="4"/>
        <v>42</v>
      </c>
      <c r="H62" s="71">
        <f t="shared" si="4"/>
        <v>29</v>
      </c>
      <c r="I62" s="180">
        <f t="shared" si="4"/>
        <v>0</v>
      </c>
      <c r="J62" s="181">
        <f t="shared" si="4"/>
        <v>0</v>
      </c>
      <c r="K62" s="71">
        <f t="shared" si="4"/>
        <v>37</v>
      </c>
      <c r="L62" s="71">
        <f t="shared" si="4"/>
        <v>39</v>
      </c>
      <c r="M62" s="71">
        <f t="shared" si="4"/>
        <v>41</v>
      </c>
      <c r="N62" s="71">
        <f t="shared" si="4"/>
        <v>43</v>
      </c>
      <c r="O62" s="71">
        <f t="shared" si="4"/>
        <v>29</v>
      </c>
      <c r="P62" s="180">
        <f t="shared" si="4"/>
        <v>0</v>
      </c>
      <c r="Q62" s="181">
        <f t="shared" si="4"/>
        <v>0</v>
      </c>
      <c r="R62" s="71">
        <f t="shared" si="4"/>
        <v>37</v>
      </c>
      <c r="S62" s="71">
        <f t="shared" si="4"/>
        <v>39</v>
      </c>
      <c r="T62" s="71">
        <f t="shared" si="4"/>
        <v>41</v>
      </c>
      <c r="U62" s="71">
        <f t="shared" si="4"/>
        <v>35</v>
      </c>
      <c r="V62" s="71">
        <f t="shared" si="4"/>
        <v>33</v>
      </c>
      <c r="W62" s="180">
        <f t="shared" si="4"/>
        <v>0</v>
      </c>
      <c r="X62" s="181">
        <f t="shared" si="4"/>
        <v>0</v>
      </c>
      <c r="Y62" s="71">
        <f t="shared" si="4"/>
        <v>41</v>
      </c>
      <c r="Z62" s="71">
        <f t="shared" si="4"/>
        <v>41</v>
      </c>
      <c r="AA62" s="71">
        <f>SUM(AA5:AA61)</f>
        <v>0</v>
      </c>
      <c r="AB62" s="71">
        <f t="shared" ref="AB62:AG62" si="5">SUM(AB5:AB60)</f>
        <v>43</v>
      </c>
      <c r="AC62" s="71">
        <f t="shared" si="5"/>
        <v>38</v>
      </c>
      <c r="AD62" s="117">
        <f t="shared" si="5"/>
        <v>688</v>
      </c>
      <c r="AE62" s="117">
        <f t="shared" si="5"/>
        <v>1651.2000000000003</v>
      </c>
      <c r="AF62" s="117">
        <f t="shared" si="5"/>
        <v>7506.0800000000027</v>
      </c>
      <c r="AG62" s="142">
        <f t="shared" si="5"/>
        <v>1968.05</v>
      </c>
    </row>
    <row r="63" spans="1:33" ht="16.5" customHeight="1" thickBot="1">
      <c r="B63" s="72"/>
      <c r="C63" s="72"/>
    </row>
    <row r="64" spans="1:33" ht="15.75" customHeight="1" thickBot="1">
      <c r="A64" s="297" t="s">
        <v>73</v>
      </c>
      <c r="B64" s="298"/>
      <c r="C64" s="298"/>
      <c r="D64" s="298"/>
      <c r="E64" s="165"/>
      <c r="F64" s="165"/>
      <c r="G64" s="165"/>
      <c r="H64" s="165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165"/>
      <c r="Z64" s="165"/>
      <c r="AA64" s="165"/>
      <c r="AB64" s="165"/>
      <c r="AC64" s="165"/>
    </row>
    <row r="65" spans="1:30" ht="15.75" customHeight="1">
      <c r="A65" s="275" t="s">
        <v>63</v>
      </c>
      <c r="B65" s="106">
        <v>1100</v>
      </c>
      <c r="C65" s="106"/>
      <c r="D65" s="73" t="s">
        <v>74</v>
      </c>
      <c r="E65" s="76"/>
      <c r="F65" s="76"/>
      <c r="G65" s="76"/>
      <c r="H65" s="76"/>
      <c r="I65" s="75"/>
      <c r="J65" s="74"/>
      <c r="K65" s="76"/>
      <c r="L65" s="76"/>
      <c r="M65" s="76"/>
      <c r="N65" s="76"/>
      <c r="O65" s="76"/>
      <c r="P65" s="75"/>
      <c r="Q65" s="74"/>
      <c r="R65" s="76"/>
      <c r="S65" s="76"/>
      <c r="T65" s="76"/>
      <c r="U65" s="76"/>
      <c r="V65" s="76"/>
      <c r="W65" s="75"/>
      <c r="X65" s="74"/>
      <c r="Y65" s="76"/>
      <c r="Z65" s="76"/>
      <c r="AA65" s="76"/>
      <c r="AB65" s="76"/>
      <c r="AC65" s="76"/>
      <c r="AD65" s="127" t="e">
        <f>SUM(#REF!)</f>
        <v>#REF!</v>
      </c>
    </row>
    <row r="66" spans="1:30" ht="15.75" customHeight="1">
      <c r="A66" s="276" t="s">
        <v>63</v>
      </c>
      <c r="B66" s="122">
        <v>1900</v>
      </c>
      <c r="C66" s="122"/>
      <c r="D66" s="77" t="s">
        <v>75</v>
      </c>
      <c r="E66" s="80"/>
      <c r="F66" s="80"/>
      <c r="G66" s="80"/>
      <c r="H66" s="80"/>
      <c r="I66" s="79"/>
      <c r="J66" s="78"/>
      <c r="K66" s="80"/>
      <c r="L66" s="80"/>
      <c r="M66" s="80"/>
      <c r="N66" s="80"/>
      <c r="O66" s="80"/>
      <c r="P66" s="79"/>
      <c r="Q66" s="78"/>
      <c r="R66" s="80"/>
      <c r="S66" s="80"/>
      <c r="T66" s="80"/>
      <c r="U66" s="80"/>
      <c r="V66" s="80"/>
      <c r="W66" s="79"/>
      <c r="X66" s="78"/>
      <c r="Y66" s="80"/>
      <c r="Z66" s="80"/>
      <c r="AA66" s="80"/>
      <c r="AB66" s="80"/>
      <c r="AC66" s="80"/>
      <c r="AD66" s="128" t="e">
        <f>SUM(#REF!)</f>
        <v>#REF!</v>
      </c>
    </row>
    <row r="67" spans="1:30" ht="15.75" customHeight="1">
      <c r="A67" s="276" t="s">
        <v>63</v>
      </c>
      <c r="B67" s="122">
        <v>2100</v>
      </c>
      <c r="C67" s="122"/>
      <c r="D67" s="77" t="s">
        <v>76</v>
      </c>
      <c r="E67" s="80"/>
      <c r="F67" s="80"/>
      <c r="G67" s="80"/>
      <c r="H67" s="80"/>
      <c r="I67" s="79"/>
      <c r="J67" s="78"/>
      <c r="K67" s="80"/>
      <c r="L67" s="80"/>
      <c r="M67" s="80"/>
      <c r="N67" s="80"/>
      <c r="O67" s="80"/>
      <c r="P67" s="79"/>
      <c r="Q67" s="78"/>
      <c r="R67" s="80"/>
      <c r="S67" s="80"/>
      <c r="T67" s="80"/>
      <c r="U67" s="80"/>
      <c r="V67" s="80"/>
      <c r="W67" s="79"/>
      <c r="X67" s="78"/>
      <c r="Y67" s="80"/>
      <c r="Z67" s="80"/>
      <c r="AA67" s="80"/>
      <c r="AB67" s="80"/>
      <c r="AC67" s="80"/>
      <c r="AD67" s="128" t="e">
        <f>SUM(#REF!)</f>
        <v>#REF!</v>
      </c>
    </row>
    <row r="68" spans="1:30" ht="15.75" customHeight="1" thickBot="1">
      <c r="A68" s="277" t="s">
        <v>63</v>
      </c>
      <c r="B68" s="124">
        <v>3100</v>
      </c>
      <c r="C68" s="124"/>
      <c r="D68" s="95" t="s">
        <v>77</v>
      </c>
      <c r="E68" s="89"/>
      <c r="F68" s="89"/>
      <c r="G68" s="89"/>
      <c r="H68" s="89"/>
      <c r="I68" s="88"/>
      <c r="J68" s="87"/>
      <c r="K68" s="89"/>
      <c r="L68" s="89"/>
      <c r="M68" s="89"/>
      <c r="N68" s="89"/>
      <c r="O68" s="89"/>
      <c r="P68" s="88"/>
      <c r="Q68" s="87"/>
      <c r="R68" s="89"/>
      <c r="S68" s="89"/>
      <c r="T68" s="89"/>
      <c r="U68" s="89"/>
      <c r="V68" s="89"/>
      <c r="W68" s="88"/>
      <c r="X68" s="87"/>
      <c r="Y68" s="89"/>
      <c r="Z68" s="89"/>
      <c r="AA68" s="89"/>
      <c r="AB68" s="89"/>
      <c r="AC68" s="89"/>
      <c r="AD68" s="129" t="e">
        <f>SUM(#REF!)</f>
        <v>#REF!</v>
      </c>
    </row>
    <row r="69" spans="1:30" ht="17.25" customHeight="1" thickBot="1">
      <c r="A69" s="278" t="s">
        <v>63</v>
      </c>
      <c r="B69" s="126"/>
      <c r="C69" s="126"/>
      <c r="D69" s="82" t="s">
        <v>78</v>
      </c>
      <c r="E69" s="85"/>
      <c r="F69" s="85"/>
      <c r="G69" s="85"/>
      <c r="H69" s="85"/>
      <c r="I69" s="84"/>
      <c r="J69" s="83"/>
      <c r="K69" s="85"/>
      <c r="L69" s="85"/>
      <c r="M69" s="85"/>
      <c r="N69" s="85"/>
      <c r="O69" s="85"/>
      <c r="P69" s="84"/>
      <c r="Q69" s="83"/>
      <c r="R69" s="85"/>
      <c r="S69" s="85"/>
      <c r="T69" s="85"/>
      <c r="U69" s="85"/>
      <c r="V69" s="85"/>
      <c r="W69" s="84"/>
      <c r="X69" s="83"/>
      <c r="Y69" s="85"/>
      <c r="Z69" s="85"/>
      <c r="AA69" s="85"/>
      <c r="AB69" s="85"/>
      <c r="AC69" s="85"/>
      <c r="AD69" s="144" t="e">
        <f>SUM(#REF!)</f>
        <v>#REF!</v>
      </c>
    </row>
    <row r="70" spans="1:30" ht="17.25" customHeight="1" thickBot="1">
      <c r="A70" s="278" t="s">
        <v>63</v>
      </c>
      <c r="B70" s="126"/>
      <c r="C70" s="126"/>
      <c r="D70" s="82" t="s">
        <v>79</v>
      </c>
      <c r="E70" s="85"/>
      <c r="F70" s="85"/>
      <c r="G70" s="85"/>
      <c r="H70" s="85"/>
      <c r="I70" s="84"/>
      <c r="J70" s="83"/>
      <c r="K70" s="85"/>
      <c r="L70" s="85"/>
      <c r="M70" s="85"/>
      <c r="N70" s="85"/>
      <c r="O70" s="85"/>
      <c r="P70" s="84"/>
      <c r="Q70" s="83"/>
      <c r="R70" s="85"/>
      <c r="S70" s="85"/>
      <c r="T70" s="85"/>
      <c r="U70" s="85"/>
      <c r="V70" s="85"/>
      <c r="W70" s="84"/>
      <c r="X70" s="83"/>
      <c r="Y70" s="85"/>
      <c r="Z70" s="85"/>
      <c r="AA70" s="85"/>
      <c r="AB70" s="85"/>
      <c r="AC70" s="85"/>
      <c r="AD70" s="144" t="e">
        <f>SUM(#REF!)</f>
        <v>#REF!</v>
      </c>
    </row>
    <row r="71" spans="1:30" ht="17.25" customHeight="1" thickBot="1">
      <c r="A71" s="278"/>
      <c r="B71" s="126"/>
      <c r="C71" s="126"/>
      <c r="D71" s="149" t="s">
        <v>80</v>
      </c>
      <c r="E71" s="85"/>
      <c r="F71" s="85"/>
      <c r="G71" s="85"/>
      <c r="H71" s="85"/>
      <c r="I71" s="84"/>
      <c r="J71" s="83"/>
      <c r="K71" s="85"/>
      <c r="L71" s="85"/>
      <c r="M71" s="85"/>
      <c r="N71" s="85"/>
      <c r="O71" s="85"/>
      <c r="P71" s="84"/>
      <c r="Q71" s="83"/>
      <c r="R71" s="85"/>
      <c r="S71" s="85"/>
      <c r="T71" s="85"/>
      <c r="U71" s="85"/>
      <c r="V71" s="85"/>
      <c r="W71" s="84"/>
      <c r="X71" s="83"/>
      <c r="Y71" s="85"/>
      <c r="Z71" s="85"/>
      <c r="AA71" s="85"/>
      <c r="AB71" s="85"/>
      <c r="AC71" s="85"/>
      <c r="AD71" s="144" t="e">
        <f>SUM(#REF!)</f>
        <v>#REF!</v>
      </c>
    </row>
    <row r="72" spans="1:30" ht="15.75" customHeight="1" thickBot="1">
      <c r="A72" s="279" t="s">
        <v>63</v>
      </c>
      <c r="B72" s="135"/>
      <c r="C72" s="135"/>
      <c r="D72" s="96" t="s">
        <v>105</v>
      </c>
      <c r="E72" s="133"/>
      <c r="F72" s="133"/>
      <c r="G72" s="133"/>
      <c r="H72" s="133"/>
      <c r="I72" s="132"/>
      <c r="J72" s="134"/>
      <c r="K72" s="133"/>
      <c r="L72" s="133"/>
      <c r="M72" s="133"/>
      <c r="N72" s="133"/>
      <c r="O72" s="133"/>
      <c r="P72" s="132"/>
      <c r="Q72" s="134"/>
      <c r="R72" s="133"/>
      <c r="S72" s="133"/>
      <c r="T72" s="133"/>
      <c r="U72" s="133"/>
      <c r="V72" s="133"/>
      <c r="W72" s="132"/>
      <c r="X72" s="134"/>
      <c r="Y72" s="133"/>
      <c r="Z72" s="133"/>
      <c r="AA72" s="133"/>
      <c r="AB72" s="133"/>
      <c r="AC72" s="133"/>
      <c r="AD72" s="156" t="e">
        <f>SUM(#REF!)</f>
        <v>#REF!</v>
      </c>
    </row>
    <row r="73" spans="1:30" ht="15.75" customHeight="1">
      <c r="A73" s="275" t="s">
        <v>63</v>
      </c>
      <c r="B73" s="106" t="s">
        <v>81</v>
      </c>
      <c r="C73" s="106"/>
      <c r="D73" s="73" t="s">
        <v>82</v>
      </c>
      <c r="E73" s="76"/>
      <c r="F73" s="76"/>
      <c r="G73" s="76"/>
      <c r="H73" s="76"/>
      <c r="I73" s="74"/>
      <c r="J73" s="74"/>
      <c r="K73" s="76"/>
      <c r="L73" s="76"/>
      <c r="M73" s="76"/>
      <c r="N73" s="76"/>
      <c r="O73" s="76"/>
      <c r="P73" s="74"/>
      <c r="Q73" s="74"/>
      <c r="R73" s="76"/>
      <c r="S73" s="76"/>
      <c r="T73" s="76"/>
      <c r="U73" s="76"/>
      <c r="V73" s="76"/>
      <c r="W73" s="74"/>
      <c r="X73" s="74"/>
      <c r="Y73" s="76"/>
      <c r="Z73" s="76"/>
      <c r="AA73" s="76">
        <v>1</v>
      </c>
      <c r="AB73" s="76">
        <v>1</v>
      </c>
      <c r="AC73" s="76">
        <v>1</v>
      </c>
      <c r="AD73" s="127" t="e">
        <f>SUM(#REF!)</f>
        <v>#REF!</v>
      </c>
    </row>
    <row r="74" spans="1:30" ht="15.75" customHeight="1" thickBot="1">
      <c r="A74" s="280" t="s">
        <v>63</v>
      </c>
      <c r="B74" s="136" t="s">
        <v>81</v>
      </c>
      <c r="C74" s="136"/>
      <c r="D74" s="86" t="s">
        <v>104</v>
      </c>
      <c r="E74" s="89">
        <v>2</v>
      </c>
      <c r="F74" s="89">
        <v>2</v>
      </c>
      <c r="G74" s="89">
        <v>2</v>
      </c>
      <c r="H74" s="89"/>
      <c r="I74" s="87"/>
      <c r="J74" s="87"/>
      <c r="K74" s="89">
        <v>2</v>
      </c>
      <c r="L74" s="89">
        <v>2</v>
      </c>
      <c r="M74" s="89">
        <v>2</v>
      </c>
      <c r="N74" s="89">
        <v>2</v>
      </c>
      <c r="O74" s="89"/>
      <c r="P74" s="87"/>
      <c r="Q74" s="87"/>
      <c r="R74" s="89">
        <v>2</v>
      </c>
      <c r="S74" s="89">
        <v>2</v>
      </c>
      <c r="T74" s="89">
        <v>2</v>
      </c>
      <c r="U74" s="89"/>
      <c r="V74" s="89"/>
      <c r="W74" s="87"/>
      <c r="X74" s="87"/>
      <c r="Y74" s="89"/>
      <c r="Z74" s="89"/>
      <c r="AA74" s="89"/>
      <c r="AB74" s="89"/>
      <c r="AC74" s="89"/>
      <c r="AD74" s="129" t="e">
        <f>SUM(#REF!)</f>
        <v>#REF!</v>
      </c>
    </row>
    <row r="75" spans="1:30" ht="15.75" customHeight="1">
      <c r="A75" s="281" t="s">
        <v>63</v>
      </c>
      <c r="B75" s="137" t="s">
        <v>83</v>
      </c>
      <c r="C75" s="137"/>
      <c r="D75" s="90" t="s">
        <v>84</v>
      </c>
      <c r="E75" s="143" t="s">
        <v>15</v>
      </c>
      <c r="F75" s="143" t="s">
        <v>15</v>
      </c>
      <c r="G75" s="143" t="s">
        <v>15</v>
      </c>
      <c r="H75" s="143" t="s">
        <v>15</v>
      </c>
      <c r="I75" s="93"/>
      <c r="J75" s="91"/>
      <c r="K75" s="143" t="s">
        <v>15</v>
      </c>
      <c r="L75" s="143" t="s">
        <v>15</v>
      </c>
      <c r="M75" s="143" t="s">
        <v>15</v>
      </c>
      <c r="N75" s="143" t="s">
        <v>15</v>
      </c>
      <c r="O75" s="143" t="s">
        <v>15</v>
      </c>
      <c r="P75" s="93"/>
      <c r="Q75" s="91"/>
      <c r="R75" s="143" t="s">
        <v>15</v>
      </c>
      <c r="S75" s="143" t="s">
        <v>15</v>
      </c>
      <c r="T75" s="143" t="s">
        <v>15</v>
      </c>
      <c r="U75" s="143" t="s">
        <v>15</v>
      </c>
      <c r="V75" s="143" t="s">
        <v>15</v>
      </c>
      <c r="W75" s="93"/>
      <c r="X75" s="91"/>
      <c r="Y75" s="143" t="s">
        <v>15</v>
      </c>
      <c r="Z75" s="143" t="s">
        <v>15</v>
      </c>
      <c r="AA75" s="143" t="s">
        <v>15</v>
      </c>
      <c r="AB75" s="143" t="s">
        <v>15</v>
      </c>
      <c r="AC75" s="143" t="s">
        <v>15</v>
      </c>
      <c r="AD75" s="127" t="e">
        <f>SUM(#REF!)</f>
        <v>#REF!</v>
      </c>
    </row>
    <row r="76" spans="1:30" ht="15.75" customHeight="1">
      <c r="A76" s="268" t="s">
        <v>63</v>
      </c>
      <c r="B76" s="150" t="s">
        <v>85</v>
      </c>
      <c r="C76" s="150"/>
      <c r="D76" s="151" t="s">
        <v>86</v>
      </c>
      <c r="E76" s="17" t="s">
        <v>15</v>
      </c>
      <c r="F76" s="17" t="s">
        <v>15</v>
      </c>
      <c r="G76" s="17">
        <v>1</v>
      </c>
      <c r="H76" s="17">
        <v>1</v>
      </c>
      <c r="I76" s="79"/>
      <c r="J76" s="78"/>
      <c r="K76" s="17" t="s">
        <v>15</v>
      </c>
      <c r="L76" s="17" t="s">
        <v>15</v>
      </c>
      <c r="M76" s="17" t="s">
        <v>15</v>
      </c>
      <c r="N76" s="17">
        <v>1</v>
      </c>
      <c r="O76" s="17">
        <v>1</v>
      </c>
      <c r="P76" s="79"/>
      <c r="Q76" s="78"/>
      <c r="R76" s="17" t="s">
        <v>15</v>
      </c>
      <c r="S76" s="17" t="s">
        <v>15</v>
      </c>
      <c r="T76" s="17" t="s">
        <v>15</v>
      </c>
      <c r="U76" s="17">
        <v>1</v>
      </c>
      <c r="V76" s="17">
        <v>1</v>
      </c>
      <c r="W76" s="79"/>
      <c r="X76" s="78"/>
      <c r="Y76" s="17"/>
      <c r="Z76" s="17" t="s">
        <v>15</v>
      </c>
      <c r="AA76" s="17" t="s">
        <v>15</v>
      </c>
      <c r="AB76" s="17">
        <v>1</v>
      </c>
      <c r="AC76" s="17">
        <v>1</v>
      </c>
      <c r="AD76" s="128" t="e">
        <f>SUM(#REF!)</f>
        <v>#REF!</v>
      </c>
    </row>
    <row r="77" spans="1:30" ht="15.75" customHeight="1">
      <c r="A77" s="282" t="s">
        <v>63</v>
      </c>
      <c r="B77" s="138" t="s">
        <v>87</v>
      </c>
      <c r="C77" s="138"/>
      <c r="D77" s="94" t="s">
        <v>88</v>
      </c>
      <c r="E77" s="17" t="s">
        <v>15</v>
      </c>
      <c r="F77" s="17">
        <v>1</v>
      </c>
      <c r="G77" s="17" t="s">
        <v>106</v>
      </c>
      <c r="H77" s="17">
        <v>1</v>
      </c>
      <c r="I77" s="79"/>
      <c r="J77" s="78"/>
      <c r="K77" s="17" t="s">
        <v>15</v>
      </c>
      <c r="L77" s="17" t="s">
        <v>15</v>
      </c>
      <c r="M77" s="17">
        <v>1</v>
      </c>
      <c r="N77" s="17" t="s">
        <v>106</v>
      </c>
      <c r="O77" s="17">
        <v>1</v>
      </c>
      <c r="P77" s="79"/>
      <c r="Q77" s="78"/>
      <c r="R77" s="17" t="s">
        <v>15</v>
      </c>
      <c r="S77" s="17" t="s">
        <v>15</v>
      </c>
      <c r="T77" s="17">
        <v>1</v>
      </c>
      <c r="U77" s="17">
        <v>1</v>
      </c>
      <c r="V77" s="17">
        <v>1</v>
      </c>
      <c r="W77" s="79"/>
      <c r="X77" s="78"/>
      <c r="Y77" s="17">
        <v>1</v>
      </c>
      <c r="Z77" s="17" t="s">
        <v>15</v>
      </c>
      <c r="AA77" s="17" t="s">
        <v>15</v>
      </c>
      <c r="AB77" s="17">
        <v>1</v>
      </c>
      <c r="AC77" s="17">
        <v>1</v>
      </c>
      <c r="AD77" s="128" t="e">
        <f>SUM(#REF!)</f>
        <v>#REF!</v>
      </c>
    </row>
    <row r="78" spans="1:30" ht="15.75" customHeight="1">
      <c r="A78" s="276" t="s">
        <v>63</v>
      </c>
      <c r="B78" s="122"/>
      <c r="C78" s="122"/>
      <c r="D78" s="77" t="s">
        <v>89</v>
      </c>
      <c r="E78" s="17" t="s">
        <v>15</v>
      </c>
      <c r="F78" s="17" t="s">
        <v>15</v>
      </c>
      <c r="G78" s="17" t="s">
        <v>15</v>
      </c>
      <c r="H78" s="17" t="s">
        <v>15</v>
      </c>
      <c r="I78" s="50"/>
      <c r="J78" s="22"/>
      <c r="K78" s="17" t="s">
        <v>15</v>
      </c>
      <c r="L78" s="17" t="s">
        <v>15</v>
      </c>
      <c r="M78" s="17" t="s">
        <v>15</v>
      </c>
      <c r="N78" s="17" t="s">
        <v>15</v>
      </c>
      <c r="O78" s="17" t="s">
        <v>15</v>
      </c>
      <c r="P78" s="50"/>
      <c r="Q78" s="22"/>
      <c r="R78" s="17" t="s">
        <v>15</v>
      </c>
      <c r="S78" s="17" t="s">
        <v>15</v>
      </c>
      <c r="T78" s="17" t="s">
        <v>15</v>
      </c>
      <c r="U78" s="17">
        <v>1</v>
      </c>
      <c r="V78" s="17">
        <v>1</v>
      </c>
      <c r="W78" s="50"/>
      <c r="X78" s="22"/>
      <c r="Y78" s="17">
        <v>1</v>
      </c>
      <c r="Z78" s="17">
        <v>1</v>
      </c>
      <c r="AA78" s="17">
        <v>1</v>
      </c>
      <c r="AB78" s="17">
        <v>1</v>
      </c>
      <c r="AC78" s="17">
        <v>1</v>
      </c>
      <c r="AD78" s="128" t="e">
        <f>SUM(#REF!)</f>
        <v>#REF!</v>
      </c>
    </row>
    <row r="79" spans="1:30" ht="15.75" customHeight="1" thickBot="1">
      <c r="A79" s="280" t="s">
        <v>63</v>
      </c>
      <c r="B79" s="155" t="s">
        <v>90</v>
      </c>
      <c r="C79" s="155"/>
      <c r="D79" s="86" t="s">
        <v>91</v>
      </c>
      <c r="E79" s="60">
        <v>1</v>
      </c>
      <c r="F79" s="60">
        <v>1</v>
      </c>
      <c r="G79" s="60">
        <v>1</v>
      </c>
      <c r="H79" s="60">
        <v>1</v>
      </c>
      <c r="I79" s="88"/>
      <c r="J79" s="87"/>
      <c r="K79" s="60">
        <v>1</v>
      </c>
      <c r="L79" s="60">
        <v>1</v>
      </c>
      <c r="M79" s="60">
        <v>1</v>
      </c>
      <c r="N79" s="60">
        <v>1</v>
      </c>
      <c r="O79" s="60">
        <v>1</v>
      </c>
      <c r="P79" s="88"/>
      <c r="Q79" s="87"/>
      <c r="R79" s="60">
        <v>1</v>
      </c>
      <c r="S79" s="60">
        <v>1</v>
      </c>
      <c r="T79" s="60">
        <v>1</v>
      </c>
      <c r="U79" s="60">
        <v>1</v>
      </c>
      <c r="V79" s="60">
        <v>1</v>
      </c>
      <c r="W79" s="88"/>
      <c r="X79" s="87"/>
      <c r="Y79" s="60">
        <v>1</v>
      </c>
      <c r="Z79" s="60">
        <v>1</v>
      </c>
      <c r="AA79" s="60">
        <v>1</v>
      </c>
      <c r="AB79" s="60">
        <v>1</v>
      </c>
      <c r="AC79" s="60">
        <v>1</v>
      </c>
      <c r="AD79" s="129" t="e">
        <f>SUM(#REF!)</f>
        <v>#REF!</v>
      </c>
    </row>
    <row r="80" spans="1:30" ht="15.75" customHeight="1" thickBot="1">
      <c r="A80" s="283" t="s">
        <v>63</v>
      </c>
      <c r="B80" s="154" t="s">
        <v>92</v>
      </c>
      <c r="C80" s="152"/>
      <c r="D80" s="153" t="s">
        <v>93</v>
      </c>
      <c r="E80" s="85">
        <v>1</v>
      </c>
      <c r="F80" s="85">
        <v>1</v>
      </c>
      <c r="G80" s="85">
        <v>1</v>
      </c>
      <c r="H80" s="85">
        <v>1</v>
      </c>
      <c r="I80" s="98"/>
      <c r="J80" s="97"/>
      <c r="K80" s="85">
        <v>1</v>
      </c>
      <c r="L80" s="85">
        <v>1</v>
      </c>
      <c r="M80" s="85">
        <v>1</v>
      </c>
      <c r="N80" s="85">
        <v>1</v>
      </c>
      <c r="O80" s="85">
        <v>1</v>
      </c>
      <c r="P80" s="98"/>
      <c r="Q80" s="97"/>
      <c r="R80" s="85">
        <v>1</v>
      </c>
      <c r="S80" s="85">
        <v>1</v>
      </c>
      <c r="T80" s="85">
        <v>1</v>
      </c>
      <c r="U80" s="85">
        <v>1</v>
      </c>
      <c r="V80" s="85">
        <v>1</v>
      </c>
      <c r="W80" s="98"/>
      <c r="X80" s="97"/>
      <c r="Y80" s="85">
        <v>1</v>
      </c>
      <c r="Z80" s="85">
        <v>1</v>
      </c>
      <c r="AA80" s="85">
        <v>1</v>
      </c>
      <c r="AB80" s="85">
        <v>1</v>
      </c>
      <c r="AC80" s="85">
        <v>1</v>
      </c>
      <c r="AD80" s="144" t="e">
        <f>SUM(#REF!)</f>
        <v>#REF!</v>
      </c>
    </row>
    <row r="81" spans="1:30" ht="15.75" customHeight="1" thickBot="1">
      <c r="A81" s="284" t="s">
        <v>63</v>
      </c>
      <c r="B81" s="152" t="s">
        <v>94</v>
      </c>
      <c r="C81" s="152"/>
      <c r="D81" s="153" t="s">
        <v>103</v>
      </c>
      <c r="E81" s="133">
        <v>3</v>
      </c>
      <c r="F81" s="133">
        <v>3</v>
      </c>
      <c r="G81" s="133">
        <v>3</v>
      </c>
      <c r="H81" s="133">
        <v>3</v>
      </c>
      <c r="I81" s="100"/>
      <c r="J81" s="99"/>
      <c r="K81" s="133">
        <v>3</v>
      </c>
      <c r="L81" s="133">
        <v>3</v>
      </c>
      <c r="M81" s="133">
        <v>3</v>
      </c>
      <c r="N81" s="133">
        <v>3</v>
      </c>
      <c r="O81" s="133">
        <v>3</v>
      </c>
      <c r="P81" s="100"/>
      <c r="Q81" s="99"/>
      <c r="R81" s="133">
        <v>3</v>
      </c>
      <c r="S81" s="133">
        <v>3</v>
      </c>
      <c r="T81" s="133">
        <v>3</v>
      </c>
      <c r="U81" s="133">
        <v>3</v>
      </c>
      <c r="V81" s="133">
        <v>3</v>
      </c>
      <c r="W81" s="100"/>
      <c r="X81" s="99"/>
      <c r="Y81" s="133">
        <v>3</v>
      </c>
      <c r="Z81" s="133">
        <v>3</v>
      </c>
      <c r="AA81" s="133">
        <v>3</v>
      </c>
      <c r="AB81" s="133">
        <v>3</v>
      </c>
      <c r="AC81" s="133">
        <v>3</v>
      </c>
      <c r="AD81" s="156" t="e">
        <f>SUM(#REF!)</f>
        <v>#REF!</v>
      </c>
    </row>
    <row r="82" spans="1:30" ht="15.75" customHeight="1" thickBot="1">
      <c r="A82" s="285" t="s">
        <v>63</v>
      </c>
      <c r="B82" s="126">
        <v>1900</v>
      </c>
      <c r="C82" s="126"/>
      <c r="D82" s="82" t="s">
        <v>95</v>
      </c>
      <c r="E82" s="85">
        <v>1</v>
      </c>
      <c r="F82" s="85">
        <v>1</v>
      </c>
      <c r="G82" s="85">
        <v>1</v>
      </c>
      <c r="H82" s="85">
        <v>1</v>
      </c>
      <c r="I82" s="159"/>
      <c r="J82" s="160"/>
      <c r="K82" s="85">
        <v>1</v>
      </c>
      <c r="L82" s="85">
        <v>1</v>
      </c>
      <c r="M82" s="85">
        <v>1</v>
      </c>
      <c r="N82" s="85">
        <v>1</v>
      </c>
      <c r="O82" s="85">
        <v>1</v>
      </c>
      <c r="P82" s="159"/>
      <c r="Q82" s="160"/>
      <c r="R82" s="85">
        <v>1</v>
      </c>
      <c r="S82" s="85">
        <v>1</v>
      </c>
      <c r="T82" s="85">
        <v>1</v>
      </c>
      <c r="U82" s="85">
        <v>1</v>
      </c>
      <c r="V82" s="85">
        <v>1</v>
      </c>
      <c r="W82" s="159"/>
      <c r="X82" s="160"/>
      <c r="Y82" s="85">
        <v>1</v>
      </c>
      <c r="Z82" s="85">
        <v>1</v>
      </c>
      <c r="AA82" s="85">
        <v>1</v>
      </c>
      <c r="AB82" s="85">
        <v>1</v>
      </c>
      <c r="AC82" s="85">
        <v>1</v>
      </c>
      <c r="AD82" s="144" t="e">
        <f>SUM(#REF!)</f>
        <v>#REF!</v>
      </c>
    </row>
    <row r="83" spans="1:30" ht="15.75" customHeight="1">
      <c r="A83" s="286" t="s">
        <v>63</v>
      </c>
      <c r="B83" s="166" t="s">
        <v>96</v>
      </c>
      <c r="C83" s="166"/>
      <c r="D83" s="167" t="s">
        <v>97</v>
      </c>
      <c r="E83" s="143">
        <v>1</v>
      </c>
      <c r="F83" s="143">
        <v>1</v>
      </c>
      <c r="G83" s="143">
        <v>1</v>
      </c>
      <c r="H83" s="143" t="s">
        <v>49</v>
      </c>
      <c r="I83" s="125"/>
      <c r="J83" s="114"/>
      <c r="K83" s="143">
        <v>1</v>
      </c>
      <c r="L83" s="143">
        <v>1</v>
      </c>
      <c r="M83" s="143">
        <v>1</v>
      </c>
      <c r="N83" s="143">
        <v>1</v>
      </c>
      <c r="O83" s="143" t="s">
        <v>49</v>
      </c>
      <c r="P83" s="125"/>
      <c r="Q83" s="114"/>
      <c r="R83" s="143">
        <v>1</v>
      </c>
      <c r="S83" s="143">
        <v>1</v>
      </c>
      <c r="T83" s="143">
        <v>1</v>
      </c>
      <c r="U83" s="143">
        <v>1</v>
      </c>
      <c r="V83" s="143" t="s">
        <v>49</v>
      </c>
      <c r="W83" s="125"/>
      <c r="X83" s="114"/>
      <c r="Y83" s="143">
        <v>1</v>
      </c>
      <c r="Z83" s="143">
        <v>1</v>
      </c>
      <c r="AA83" s="143">
        <v>1</v>
      </c>
      <c r="AB83" s="143">
        <v>1</v>
      </c>
      <c r="AC83" s="143" t="s">
        <v>49</v>
      </c>
      <c r="AD83" s="130" t="e">
        <f>SUM(#REF!)</f>
        <v>#REF!</v>
      </c>
    </row>
    <row r="84" spans="1:30" ht="15.75" customHeight="1">
      <c r="A84" s="287" t="s">
        <v>63</v>
      </c>
      <c r="B84" s="140" t="s">
        <v>96</v>
      </c>
      <c r="C84" s="140"/>
      <c r="D84" s="103" t="s">
        <v>98</v>
      </c>
      <c r="E84" s="80"/>
      <c r="F84" s="80"/>
      <c r="G84" s="80"/>
      <c r="H84" s="80"/>
      <c r="I84" s="101"/>
      <c r="J84" s="102"/>
      <c r="K84" s="80"/>
      <c r="L84" s="80"/>
      <c r="M84" s="80"/>
      <c r="N84" s="80"/>
      <c r="O84" s="80"/>
      <c r="P84" s="101"/>
      <c r="Q84" s="102"/>
      <c r="R84" s="80"/>
      <c r="S84" s="80"/>
      <c r="T84" s="80"/>
      <c r="U84" s="80"/>
      <c r="V84" s="80"/>
      <c r="W84" s="101"/>
      <c r="X84" s="102"/>
      <c r="Y84" s="80"/>
      <c r="Z84" s="80"/>
      <c r="AA84" s="80">
        <v>1</v>
      </c>
      <c r="AB84" s="80"/>
      <c r="AC84" s="80"/>
      <c r="AD84" s="128" t="e">
        <f>SUM(#REF!)</f>
        <v>#REF!</v>
      </c>
    </row>
    <row r="85" spans="1:30" ht="15.75" customHeight="1">
      <c r="A85" s="287" t="s">
        <v>63</v>
      </c>
      <c r="B85" s="140" t="s">
        <v>96</v>
      </c>
      <c r="C85" s="250"/>
      <c r="D85" s="107" t="s">
        <v>99</v>
      </c>
      <c r="E85" s="80">
        <v>1</v>
      </c>
      <c r="F85" s="80">
        <v>1</v>
      </c>
      <c r="G85" s="80">
        <v>1</v>
      </c>
      <c r="H85" s="80">
        <v>1</v>
      </c>
      <c r="I85" s="101"/>
      <c r="J85" s="102"/>
      <c r="K85" s="80">
        <v>1</v>
      </c>
      <c r="L85" s="80">
        <v>1</v>
      </c>
      <c r="M85" s="80">
        <v>1</v>
      </c>
      <c r="N85" s="80">
        <v>1</v>
      </c>
      <c r="O85" s="80">
        <v>1</v>
      </c>
      <c r="P85" s="101"/>
      <c r="Q85" s="102"/>
      <c r="R85" s="80">
        <v>1</v>
      </c>
      <c r="S85" s="80">
        <v>1</v>
      </c>
      <c r="T85" s="80">
        <v>1</v>
      </c>
      <c r="U85" s="80">
        <v>1</v>
      </c>
      <c r="V85" s="80">
        <v>1</v>
      </c>
      <c r="W85" s="101"/>
      <c r="X85" s="102"/>
      <c r="Y85" s="80">
        <v>1</v>
      </c>
      <c r="Z85" s="80">
        <v>1</v>
      </c>
      <c r="AA85" s="80">
        <v>1</v>
      </c>
      <c r="AB85" s="80">
        <v>1</v>
      </c>
      <c r="AC85" s="80">
        <v>1</v>
      </c>
      <c r="AD85" s="128" t="e">
        <f>SUM(#REF!)</f>
        <v>#REF!</v>
      </c>
    </row>
    <row r="86" spans="1:30" ht="15.75" customHeight="1" thickBot="1">
      <c r="A86" s="288" t="s">
        <v>63</v>
      </c>
      <c r="B86" s="139" t="s">
        <v>96</v>
      </c>
      <c r="C86" s="139"/>
      <c r="D86" s="109" t="s">
        <v>100</v>
      </c>
      <c r="E86" s="81"/>
      <c r="F86" s="81">
        <v>1</v>
      </c>
      <c r="G86" s="81"/>
      <c r="H86" s="81"/>
      <c r="I86" s="105"/>
      <c r="J86" s="104"/>
      <c r="K86" s="81"/>
      <c r="L86" s="81"/>
      <c r="M86" s="81">
        <v>1</v>
      </c>
      <c r="N86" s="81"/>
      <c r="O86" s="81"/>
      <c r="P86" s="105"/>
      <c r="Q86" s="104"/>
      <c r="R86" s="81"/>
      <c r="S86" s="81"/>
      <c r="T86" s="81">
        <v>1</v>
      </c>
      <c r="U86" s="81"/>
      <c r="V86" s="81"/>
      <c r="W86" s="105"/>
      <c r="X86" s="104"/>
      <c r="Y86" s="81"/>
      <c r="Z86" s="81"/>
      <c r="AA86" s="81">
        <v>1</v>
      </c>
      <c r="AB86" s="81"/>
      <c r="AC86" s="81"/>
      <c r="AD86" s="129" t="e">
        <f>SUM(#REF!)</f>
        <v>#REF!</v>
      </c>
    </row>
    <row r="87" spans="1:30" ht="15.75" customHeight="1" thickBot="1">
      <c r="A87" s="289" t="s">
        <v>101</v>
      </c>
      <c r="B87" s="111"/>
      <c r="C87" s="111"/>
      <c r="D87" s="110"/>
      <c r="E87" s="145">
        <f t="shared" ref="E87:V87" si="6">E62+(SUM(E65:E86))</f>
        <v>49</v>
      </c>
      <c r="F87" s="145">
        <f t="shared" si="6"/>
        <v>53</v>
      </c>
      <c r="G87" s="145">
        <f t="shared" si="6"/>
        <v>53</v>
      </c>
      <c r="H87" s="145">
        <f t="shared" si="6"/>
        <v>38</v>
      </c>
      <c r="I87" s="131">
        <f t="shared" si="6"/>
        <v>0</v>
      </c>
      <c r="J87" s="131">
        <f t="shared" si="6"/>
        <v>0</v>
      </c>
      <c r="K87" s="145">
        <f t="shared" si="6"/>
        <v>47</v>
      </c>
      <c r="L87" s="145">
        <f t="shared" si="6"/>
        <v>49</v>
      </c>
      <c r="M87" s="145">
        <f t="shared" si="6"/>
        <v>53</v>
      </c>
      <c r="N87" s="145">
        <f t="shared" si="6"/>
        <v>54</v>
      </c>
      <c r="O87" s="145">
        <f t="shared" si="6"/>
        <v>38</v>
      </c>
      <c r="P87" s="131">
        <f t="shared" si="6"/>
        <v>0</v>
      </c>
      <c r="Q87" s="131">
        <f t="shared" si="6"/>
        <v>0</v>
      </c>
      <c r="R87" s="145">
        <f t="shared" si="6"/>
        <v>47</v>
      </c>
      <c r="S87" s="145">
        <f t="shared" si="6"/>
        <v>49</v>
      </c>
      <c r="T87" s="145">
        <f t="shared" si="6"/>
        <v>53</v>
      </c>
      <c r="U87" s="145">
        <f t="shared" si="6"/>
        <v>46</v>
      </c>
      <c r="V87" s="145">
        <f t="shared" si="6"/>
        <v>43</v>
      </c>
      <c r="W87" s="131">
        <f t="shared" ref="W87:AC87" si="7">W62+(SUM(W65:W86))</f>
        <v>0</v>
      </c>
      <c r="X87" s="131">
        <f t="shared" si="7"/>
        <v>0</v>
      </c>
      <c r="Y87" s="145">
        <f t="shared" si="7"/>
        <v>51</v>
      </c>
      <c r="Z87" s="145">
        <f t="shared" si="7"/>
        <v>50</v>
      </c>
      <c r="AA87" s="145">
        <f t="shared" si="7"/>
        <v>12</v>
      </c>
      <c r="AB87" s="145">
        <f t="shared" si="7"/>
        <v>55</v>
      </c>
      <c r="AC87" s="145">
        <f t="shared" si="7"/>
        <v>49</v>
      </c>
    </row>
    <row r="88" spans="1:30" ht="15.75" customHeight="1" thickBot="1">
      <c r="A88" s="290" t="s">
        <v>108</v>
      </c>
      <c r="B88" s="108"/>
      <c r="C88" s="108"/>
      <c r="D88" s="112"/>
      <c r="E88" s="146"/>
      <c r="F88" s="146"/>
      <c r="G88" s="146"/>
      <c r="H88" s="146"/>
      <c r="I88" s="113"/>
      <c r="J88" s="113"/>
      <c r="K88" s="146"/>
      <c r="L88" s="146"/>
      <c r="M88" s="146"/>
      <c r="N88" s="146"/>
      <c r="O88" s="146"/>
      <c r="P88" s="113"/>
      <c r="Q88" s="113"/>
      <c r="R88" s="146"/>
      <c r="S88" s="146"/>
      <c r="T88" s="146"/>
      <c r="U88" s="146">
        <v>21</v>
      </c>
      <c r="V88" s="146">
        <v>22</v>
      </c>
      <c r="W88" s="113"/>
      <c r="X88" s="113"/>
      <c r="Y88" s="146">
        <v>23</v>
      </c>
      <c r="Z88" s="146">
        <v>23</v>
      </c>
      <c r="AA88" s="146">
        <v>21</v>
      </c>
      <c r="AB88" s="146">
        <v>21</v>
      </c>
      <c r="AC88" s="146">
        <v>22</v>
      </c>
    </row>
    <row r="89" spans="1:30" ht="15.75" customHeight="1"/>
    <row r="90" spans="1:30" ht="15.75" customHeight="1"/>
    <row r="91" spans="1:30" ht="15.75" customHeight="1"/>
    <row r="92" spans="1:30" ht="15.75" customHeight="1"/>
    <row r="93" spans="1:30" ht="15.75" customHeight="1">
      <c r="B93" s="72"/>
      <c r="C93" s="72"/>
    </row>
    <row r="94" spans="1:30" ht="15.75" customHeight="1">
      <c r="B94" s="72"/>
      <c r="C94" s="72"/>
    </row>
    <row r="95" spans="1:30" ht="15.75" customHeight="1">
      <c r="B95" s="72"/>
      <c r="C95" s="72"/>
    </row>
    <row r="96" spans="1:30" ht="8.1" customHeight="1">
      <c r="B96" s="72"/>
      <c r="C96" s="72"/>
    </row>
    <row r="97" spans="2:3" ht="8.1" customHeight="1">
      <c r="B97" s="72"/>
      <c r="C97" s="72"/>
    </row>
    <row r="98" spans="2:3" ht="8.1" customHeight="1">
      <c r="B98" s="72"/>
      <c r="C98" s="72"/>
    </row>
    <row r="99" spans="2:3" ht="8.1" customHeight="1">
      <c r="B99" s="72"/>
      <c r="C99" s="72"/>
    </row>
    <row r="100" spans="2:3" ht="12.75" customHeight="1">
      <c r="B100" s="72"/>
      <c r="C100" s="72"/>
    </row>
    <row r="101" spans="2:3" ht="12.75" customHeight="1">
      <c r="B101" s="72"/>
      <c r="C101" s="72"/>
    </row>
    <row r="102" spans="2:3" ht="12.75" customHeight="1">
      <c r="B102" s="72"/>
      <c r="C102" s="72"/>
    </row>
    <row r="103" spans="2:3" ht="12.75" customHeight="1">
      <c r="B103" s="72"/>
      <c r="C103" s="72"/>
    </row>
    <row r="104" spans="2:3" ht="12.75" customHeight="1">
      <c r="B104" s="72"/>
      <c r="C104" s="72"/>
    </row>
    <row r="105" spans="2:3" ht="12.75" customHeight="1">
      <c r="B105" s="72"/>
      <c r="C105" s="72"/>
    </row>
    <row r="106" spans="2:3" ht="12.75" customHeight="1">
      <c r="B106" s="72"/>
      <c r="C106" s="72"/>
    </row>
    <row r="107" spans="2:3" ht="12.75" customHeight="1">
      <c r="B107" s="72"/>
      <c r="C107" s="72"/>
    </row>
    <row r="108" spans="2:3" ht="12.75" customHeight="1">
      <c r="B108" s="72"/>
      <c r="C108" s="72"/>
    </row>
    <row r="109" spans="2:3" ht="12.75" customHeight="1">
      <c r="B109" s="72"/>
      <c r="C109" s="72"/>
    </row>
    <row r="110" spans="2:3" ht="12.75" customHeight="1">
      <c r="B110" s="72"/>
      <c r="C110" s="72"/>
    </row>
    <row r="111" spans="2:3" ht="12.75" customHeight="1">
      <c r="B111" s="72"/>
      <c r="C111" s="72"/>
    </row>
    <row r="112" spans="2:3" ht="12.75" customHeight="1">
      <c r="B112" s="72"/>
      <c r="C112" s="72"/>
    </row>
    <row r="113" spans="2:3" ht="12.75" customHeight="1">
      <c r="B113" s="72"/>
      <c r="C113" s="72"/>
    </row>
    <row r="114" spans="2:3" ht="12.75" customHeight="1">
      <c r="B114" s="72"/>
      <c r="C114" s="72"/>
    </row>
    <row r="115" spans="2:3" ht="12.75" customHeight="1">
      <c r="B115" s="72"/>
      <c r="C115" s="72"/>
    </row>
    <row r="116" spans="2:3" ht="12.75" customHeight="1">
      <c r="B116" s="72"/>
      <c r="C116" s="72"/>
    </row>
    <row r="117" spans="2:3" ht="12.75" customHeight="1">
      <c r="B117" s="72"/>
      <c r="C117" s="72"/>
    </row>
    <row r="118" spans="2:3" ht="12.75" customHeight="1">
      <c r="B118" s="72"/>
      <c r="C118" s="72"/>
    </row>
    <row r="119" spans="2:3" ht="12.75" customHeight="1">
      <c r="B119" s="72"/>
      <c r="C119" s="72"/>
    </row>
    <row r="120" spans="2:3" ht="12.75" customHeight="1"/>
    <row r="121" spans="2:3" ht="12.75" customHeight="1"/>
    <row r="122" spans="2:3" ht="12.75" customHeight="1"/>
    <row r="123" spans="2:3" ht="12.75" customHeight="1"/>
    <row r="124" spans="2:3" ht="12.75" customHeight="1"/>
    <row r="125" spans="2:3" ht="12.75" customHeight="1"/>
    <row r="126" spans="2:3" ht="12.75" customHeight="1"/>
    <row r="127" spans="2:3" ht="12.75" customHeight="1"/>
    <row r="128" spans="2:3" ht="12.75" customHeight="1"/>
    <row r="129" spans="1:1" ht="12.75" customHeight="1"/>
    <row r="130" spans="1:1" ht="12.75" customHeight="1"/>
    <row r="131" spans="1:1" ht="12.75" customHeight="1">
      <c r="A131" s="291"/>
    </row>
    <row r="132" spans="1:1" ht="15" customHeight="1">
      <c r="A132" s="292" t="s">
        <v>102</v>
      </c>
    </row>
  </sheetData>
  <mergeCells count="7">
    <mergeCell ref="AF3:AF4"/>
    <mergeCell ref="AG3:AG4"/>
    <mergeCell ref="A64:D64"/>
    <mergeCell ref="A1:D1"/>
    <mergeCell ref="A3:D3"/>
    <mergeCell ref="AD3:AD4"/>
    <mergeCell ref="AE3:AE4"/>
  </mergeCells>
  <conditionalFormatting sqref="E25:F26 E40:F41 E24:H24 I61:J61 P61:Q61 W61:X61">
    <cfRule type="cellIs" dxfId="1843" priority="10291" operator="equal">
      <formula>1</formula>
    </cfRule>
  </conditionalFormatting>
  <conditionalFormatting sqref="F65:F67">
    <cfRule type="colorScale" priority="5571">
      <colorScale>
        <cfvo type="num" val="1"/>
        <cfvo type="num" val="10"/>
        <color rgb="FF00B050"/>
        <color rgb="FFFFEF9C"/>
      </colorScale>
    </cfRule>
    <cfRule type="colorScale" priority="5572">
      <colorScale>
        <cfvo type="num" val="2"/>
        <cfvo type="max"/>
        <color rgb="FF0070C0"/>
        <color rgb="FFFFEF9C"/>
      </colorScale>
    </cfRule>
  </conditionalFormatting>
  <conditionalFormatting sqref="G65:G67">
    <cfRule type="colorScale" priority="5577">
      <colorScale>
        <cfvo type="num" val="1"/>
        <cfvo type="num" val="10"/>
        <color rgb="FF00B050"/>
        <color rgb="FFFFEF9C"/>
      </colorScale>
    </cfRule>
    <cfRule type="colorScale" priority="5578">
      <colorScale>
        <cfvo type="num" val="2"/>
        <cfvo type="max"/>
        <color rgb="FF0070C0"/>
        <color rgb="FFFFEF9C"/>
      </colorScale>
    </cfRule>
  </conditionalFormatting>
  <conditionalFormatting sqref="M65:M67">
    <cfRule type="colorScale" priority="5333">
      <colorScale>
        <cfvo type="num" val="1"/>
        <cfvo type="num" val="10"/>
        <color rgb="FF00B050"/>
        <color rgb="FFFFEF9C"/>
      </colorScale>
    </cfRule>
    <cfRule type="colorScale" priority="5334">
      <colorScale>
        <cfvo type="num" val="2"/>
        <cfvo type="max"/>
        <color rgb="FF0070C0"/>
        <color rgb="FFFFEF9C"/>
      </colorScale>
    </cfRule>
  </conditionalFormatting>
  <conditionalFormatting sqref="N65:N67">
    <cfRule type="colorScale" priority="5339">
      <colorScale>
        <cfvo type="num" val="1"/>
        <cfvo type="num" val="10"/>
        <color rgb="FF00B050"/>
        <color rgb="FFFFEF9C"/>
      </colorScale>
    </cfRule>
    <cfRule type="colorScale" priority="5340">
      <colorScale>
        <cfvo type="num" val="2"/>
        <cfvo type="max"/>
        <color rgb="FF0070C0"/>
        <color rgb="FFFFEF9C"/>
      </colorScale>
    </cfRule>
  </conditionalFormatting>
  <conditionalFormatting sqref="T65:T67">
    <cfRule type="colorScale" priority="4322">
      <colorScale>
        <cfvo type="num" val="1"/>
        <cfvo type="num" val="10"/>
        <color rgb="FF00B050"/>
        <color rgb="FFFFEF9C"/>
      </colorScale>
    </cfRule>
    <cfRule type="colorScale" priority="4323">
      <colorScale>
        <cfvo type="num" val="2"/>
        <cfvo type="max"/>
        <color rgb="FF0070C0"/>
        <color rgb="FFFFEF9C"/>
      </colorScale>
    </cfRule>
  </conditionalFormatting>
  <conditionalFormatting sqref="U65:U67">
    <cfRule type="colorScale" priority="4207">
      <colorScale>
        <cfvo type="num" val="1"/>
        <cfvo type="num" val="10"/>
        <color rgb="FF00B050"/>
        <color rgb="FFFFEF9C"/>
      </colorScale>
    </cfRule>
    <cfRule type="colorScale" priority="4208">
      <colorScale>
        <cfvo type="num" val="2"/>
        <cfvo type="max"/>
        <color rgb="FF0070C0"/>
        <color rgb="FFFFEF9C"/>
      </colorScale>
    </cfRule>
  </conditionalFormatting>
  <conditionalFormatting sqref="V65:V67">
    <cfRule type="colorScale" priority="4091">
      <colorScale>
        <cfvo type="num" val="1"/>
        <cfvo type="num" val="10"/>
        <color rgb="FF00B050"/>
        <color rgb="FFFFEF9C"/>
      </colorScale>
    </cfRule>
    <cfRule type="colorScale" priority="4092">
      <colorScale>
        <cfvo type="num" val="2"/>
        <cfvo type="max"/>
        <color rgb="FF0070C0"/>
        <color rgb="FFFFEF9C"/>
      </colorScale>
    </cfRule>
  </conditionalFormatting>
  <conditionalFormatting sqref="E42">
    <cfRule type="cellIs" dxfId="1842" priority="2849" operator="equal">
      <formula>1</formula>
    </cfRule>
  </conditionalFormatting>
  <conditionalFormatting sqref="E42">
    <cfRule type="cellIs" dxfId="1841" priority="2848" operator="equal">
      <formula>1</formula>
    </cfRule>
  </conditionalFormatting>
  <conditionalFormatting sqref="E69:E74">
    <cfRule type="cellIs" dxfId="1840" priority="2896" operator="equal">
      <formula>1</formula>
    </cfRule>
  </conditionalFormatting>
  <conditionalFormatting sqref="E51">
    <cfRule type="cellIs" dxfId="1839" priority="2895" operator="equal">
      <formula>1</formula>
    </cfRule>
  </conditionalFormatting>
  <conditionalFormatting sqref="E37:E38 E43:E48">
    <cfRule type="cellIs" dxfId="1838" priority="2893" operator="equal">
      <formula>1</formula>
    </cfRule>
  </conditionalFormatting>
  <conditionalFormatting sqref="E65:E67">
    <cfRule type="cellIs" dxfId="1837" priority="2884" operator="equal">
      <formula>1</formula>
    </cfRule>
  </conditionalFormatting>
  <conditionalFormatting sqref="E34:E35">
    <cfRule type="cellIs" dxfId="1836" priority="2883" operator="equal">
      <formula>1</formula>
    </cfRule>
  </conditionalFormatting>
  <conditionalFormatting sqref="E10">
    <cfRule type="cellIs" dxfId="1835" priority="2870" operator="equal">
      <formula>1</formula>
    </cfRule>
  </conditionalFormatting>
  <conditionalFormatting sqref="E40">
    <cfRule type="cellIs" dxfId="1834" priority="2871" operator="equal">
      <formula>1</formula>
    </cfRule>
  </conditionalFormatting>
  <conditionalFormatting sqref="E44">
    <cfRule type="cellIs" dxfId="1833" priority="2872" operator="equal">
      <formula>1</formula>
    </cfRule>
  </conditionalFormatting>
  <conditionalFormatting sqref="E59">
    <cfRule type="cellIs" dxfId="1832" priority="2873" operator="equal">
      <formula>1</formula>
    </cfRule>
  </conditionalFormatting>
  <conditionalFormatting sqref="E12">
    <cfRule type="cellIs" dxfId="1831" priority="2874" operator="equal">
      <formula>1</formula>
    </cfRule>
  </conditionalFormatting>
  <conditionalFormatting sqref="E25">
    <cfRule type="cellIs" dxfId="1830" priority="2875" operator="equal">
      <formula>1</formula>
    </cfRule>
  </conditionalFormatting>
  <conditionalFormatting sqref="E13">
    <cfRule type="cellIs" dxfId="1829" priority="2876" operator="equal">
      <formula>1</formula>
    </cfRule>
  </conditionalFormatting>
  <conditionalFormatting sqref="E14">
    <cfRule type="cellIs" dxfId="1828" priority="2877" operator="equal">
      <formula>1</formula>
    </cfRule>
  </conditionalFormatting>
  <conditionalFormatting sqref="E57">
    <cfRule type="cellIs" dxfId="1827" priority="2878" operator="equal">
      <formula>1</formula>
    </cfRule>
  </conditionalFormatting>
  <conditionalFormatting sqref="E57">
    <cfRule type="cellIs" dxfId="1826" priority="2879" operator="equal">
      <formula>1</formula>
    </cfRule>
  </conditionalFormatting>
  <conditionalFormatting sqref="E38">
    <cfRule type="cellIs" dxfId="1825" priority="2880" operator="equal">
      <formula>1</formula>
    </cfRule>
  </conditionalFormatting>
  <conditionalFormatting sqref="E23">
    <cfRule type="cellIs" dxfId="1824" priority="2881" operator="equal">
      <formula>1</formula>
    </cfRule>
  </conditionalFormatting>
  <conditionalFormatting sqref="E8">
    <cfRule type="cellIs" dxfId="1823" priority="2882" operator="equal">
      <formula>1</formula>
    </cfRule>
  </conditionalFormatting>
  <conditionalFormatting sqref="E9">
    <cfRule type="cellIs" dxfId="1822" priority="2869" operator="equal">
      <formula>1</formula>
    </cfRule>
  </conditionalFormatting>
  <conditionalFormatting sqref="E15:E16">
    <cfRule type="cellIs" dxfId="1821" priority="2868" operator="equal">
      <formula>1</formula>
    </cfRule>
  </conditionalFormatting>
  <conditionalFormatting sqref="E26 E20">
    <cfRule type="cellIs" dxfId="1820" priority="2864" operator="equal">
      <formula>1</formula>
    </cfRule>
  </conditionalFormatting>
  <conditionalFormatting sqref="E43">
    <cfRule type="cellIs" dxfId="1819" priority="2866" operator="equal">
      <formula>1</formula>
    </cfRule>
  </conditionalFormatting>
  <conditionalFormatting sqref="E26">
    <cfRule type="cellIs" dxfId="1818" priority="2867" operator="equal">
      <formula>1</formula>
    </cfRule>
  </conditionalFormatting>
  <conditionalFormatting sqref="E23">
    <cfRule type="cellIs" dxfId="1817" priority="2863" operator="equal">
      <formula>1</formula>
    </cfRule>
  </conditionalFormatting>
  <conditionalFormatting sqref="E7:E8">
    <cfRule type="cellIs" dxfId="1816" priority="2858" operator="equal">
      <formula>1</formula>
    </cfRule>
  </conditionalFormatting>
  <conditionalFormatting sqref="E8">
    <cfRule type="cellIs" dxfId="1815" priority="2859" operator="equal">
      <formula>1</formula>
    </cfRule>
  </conditionalFormatting>
  <conditionalFormatting sqref="E8">
    <cfRule type="cellIs" dxfId="1814" priority="2860" operator="equal">
      <formula>1</formula>
    </cfRule>
  </conditionalFormatting>
  <conditionalFormatting sqref="E8">
    <cfRule type="cellIs" dxfId="1813" priority="2861" operator="equal">
      <formula>1</formula>
    </cfRule>
  </conditionalFormatting>
  <conditionalFormatting sqref="E20 E26">
    <cfRule type="cellIs" dxfId="1812" priority="2862" operator="equal">
      <formula>1</formula>
    </cfRule>
  </conditionalFormatting>
  <conditionalFormatting sqref="E7:E10 E12:E16 E57 E59 E20 E53">
    <cfRule type="cellIs" dxfId="1811" priority="2857" operator="equal">
      <formula>1</formula>
    </cfRule>
  </conditionalFormatting>
  <conditionalFormatting sqref="E22">
    <cfRule type="cellIs" dxfId="1810" priority="2856" operator="equal">
      <formula>1</formula>
    </cfRule>
  </conditionalFormatting>
  <conditionalFormatting sqref="E58">
    <cfRule type="cellIs" dxfId="1809" priority="2841" operator="equal">
      <formula>1</formula>
    </cfRule>
  </conditionalFormatting>
  <conditionalFormatting sqref="E58">
    <cfRule type="cellIs" dxfId="1808" priority="2842" operator="equal">
      <formula>1</formula>
    </cfRule>
  </conditionalFormatting>
  <conditionalFormatting sqref="E19">
    <cfRule type="cellIs" dxfId="1807" priority="2855" operator="equal">
      <formula>1</formula>
    </cfRule>
  </conditionalFormatting>
  <conditionalFormatting sqref="E55">
    <cfRule type="cellIs" dxfId="1806" priority="2850" operator="equal">
      <formula>1</formula>
    </cfRule>
  </conditionalFormatting>
  <conditionalFormatting sqref="E55">
    <cfRule type="cellIs" dxfId="1805" priority="2851" operator="equal">
      <formula>1</formula>
    </cfRule>
  </conditionalFormatting>
  <conditionalFormatting sqref="E55">
    <cfRule type="cellIs" dxfId="1804" priority="2852" operator="equal">
      <formula>1</formula>
    </cfRule>
  </conditionalFormatting>
  <conditionalFormatting sqref="E55">
    <cfRule type="cellIs" dxfId="1803" priority="2853" operator="equal">
      <formula>1</formula>
    </cfRule>
  </conditionalFormatting>
  <conditionalFormatting sqref="E55">
    <cfRule type="cellIs" dxfId="1802" priority="2854" operator="equal">
      <formula>1</formula>
    </cfRule>
  </conditionalFormatting>
  <conditionalFormatting sqref="R60">
    <cfRule type="cellIs" dxfId="1801" priority="1382" operator="equal">
      <formula>1</formula>
    </cfRule>
  </conditionalFormatting>
  <conditionalFormatting sqref="E56">
    <cfRule type="cellIs" dxfId="1800" priority="2843" operator="equal">
      <formula>1</formula>
    </cfRule>
  </conditionalFormatting>
  <conditionalFormatting sqref="E56">
    <cfRule type="cellIs" dxfId="1799" priority="2844" operator="equal">
      <formula>1</formula>
    </cfRule>
  </conditionalFormatting>
  <conditionalFormatting sqref="E56">
    <cfRule type="cellIs" dxfId="1798" priority="2845" operator="equal">
      <formula>1</formula>
    </cfRule>
  </conditionalFormatting>
  <conditionalFormatting sqref="E56">
    <cfRule type="cellIs" dxfId="1797" priority="2846" operator="equal">
      <formula>1</formula>
    </cfRule>
  </conditionalFormatting>
  <conditionalFormatting sqref="E56">
    <cfRule type="cellIs" dxfId="1796" priority="2847" operator="equal">
      <formula>1</formula>
    </cfRule>
  </conditionalFormatting>
  <conditionalFormatting sqref="E28:E30">
    <cfRule type="cellIs" dxfId="1795" priority="2840" operator="equal">
      <formula>1</formula>
    </cfRule>
  </conditionalFormatting>
  <conditionalFormatting sqref="E52">
    <cfRule type="cellIs" dxfId="1794" priority="2839" operator="equal">
      <formula>1</formula>
    </cfRule>
  </conditionalFormatting>
  <conditionalFormatting sqref="E52">
    <cfRule type="cellIs" dxfId="1793" priority="2838" operator="equal">
      <formula>1</formula>
    </cfRule>
  </conditionalFormatting>
  <conditionalFormatting sqref="E36">
    <cfRule type="cellIs" dxfId="1792" priority="2837" operator="equal">
      <formula>1</formula>
    </cfRule>
  </conditionalFormatting>
  <conditionalFormatting sqref="E36">
    <cfRule type="cellIs" dxfId="1791" priority="2836" operator="equal">
      <formula>1</formula>
    </cfRule>
  </conditionalFormatting>
  <conditionalFormatting sqref="E54">
    <cfRule type="cellIs" dxfId="1790" priority="2831" operator="equal">
      <formula>1</formula>
    </cfRule>
  </conditionalFormatting>
  <conditionalFormatting sqref="E54">
    <cfRule type="cellIs" dxfId="1789" priority="2832" operator="equal">
      <formula>1</formula>
    </cfRule>
  </conditionalFormatting>
  <conditionalFormatting sqref="E54">
    <cfRule type="cellIs" dxfId="1788" priority="2833" operator="equal">
      <formula>1</formula>
    </cfRule>
  </conditionalFormatting>
  <conditionalFormatting sqref="E54">
    <cfRule type="cellIs" dxfId="1787" priority="2834" operator="equal">
      <formula>1</formula>
    </cfRule>
  </conditionalFormatting>
  <conditionalFormatting sqref="E54">
    <cfRule type="cellIs" dxfId="1786" priority="2835" operator="equal">
      <formula>1</formula>
    </cfRule>
  </conditionalFormatting>
  <conditionalFormatting sqref="E17">
    <cfRule type="cellIs" dxfId="1785" priority="2830" operator="equal">
      <formula>1</formula>
    </cfRule>
  </conditionalFormatting>
  <conditionalFormatting sqref="E17">
    <cfRule type="cellIs" dxfId="1784" priority="2829" operator="equal">
      <formula>1</formula>
    </cfRule>
  </conditionalFormatting>
  <conditionalFormatting sqref="E49">
    <cfRule type="cellIs" dxfId="1783" priority="2828" operator="equal">
      <formula>1</formula>
    </cfRule>
  </conditionalFormatting>
  <conditionalFormatting sqref="E80:E81">
    <cfRule type="cellIs" dxfId="1782" priority="2821" operator="equal">
      <formula>1</formula>
    </cfRule>
  </conditionalFormatting>
  <conditionalFormatting sqref="E75">
    <cfRule type="cellIs" dxfId="1781" priority="2820" operator="equal">
      <formula>1</formula>
    </cfRule>
  </conditionalFormatting>
  <conditionalFormatting sqref="E79">
    <cfRule type="cellIs" dxfId="1780" priority="2817" operator="equal">
      <formula>1</formula>
    </cfRule>
  </conditionalFormatting>
  <conditionalFormatting sqref="E21">
    <cfRule type="cellIs" dxfId="1779" priority="2816" operator="equal">
      <formula>1</formula>
    </cfRule>
  </conditionalFormatting>
  <conditionalFormatting sqref="E68">
    <cfRule type="cellIs" dxfId="1778" priority="2813" operator="equal">
      <formula>1</formula>
    </cfRule>
  </conditionalFormatting>
  <conditionalFormatting sqref="E6">
    <cfRule type="cellIs" dxfId="1777" priority="2812" operator="equal">
      <formula>1</formula>
    </cfRule>
  </conditionalFormatting>
  <conditionalFormatting sqref="E27">
    <cfRule type="cellIs" dxfId="1776" priority="2811" operator="equal">
      <formula>1</formula>
    </cfRule>
  </conditionalFormatting>
  <conditionalFormatting sqref="E69:E72 E65:E67">
    <cfRule type="colorScale" priority="2885">
      <colorScale>
        <cfvo type="num" val="1"/>
        <cfvo type="num" val="10"/>
        <color rgb="FF00B050"/>
        <color rgb="FFFFEF9C"/>
      </colorScale>
    </cfRule>
    <cfRule type="colorScale" priority="2886">
      <colorScale>
        <cfvo type="num" val="2"/>
        <cfvo type="max"/>
        <color rgb="FF0070C0"/>
        <color rgb="FFFFEF9C"/>
      </colorScale>
    </cfRule>
  </conditionalFormatting>
  <conditionalFormatting sqref="E68">
    <cfRule type="colorScale" priority="2891">
      <colorScale>
        <cfvo type="num" val="1"/>
        <cfvo type="num" val="10"/>
        <color rgb="FF00B050"/>
        <color rgb="FFFFEF9C"/>
      </colorScale>
    </cfRule>
    <cfRule type="colorScale" priority="2892">
      <colorScale>
        <cfvo type="num" val="2"/>
        <cfvo type="max"/>
        <color rgb="FF0070C0"/>
        <color rgb="FFFFEF9C"/>
      </colorScale>
    </cfRule>
  </conditionalFormatting>
  <conditionalFormatting sqref="E50">
    <cfRule type="cellIs" dxfId="1775" priority="2810" operator="equal">
      <formula>1</formula>
    </cfRule>
  </conditionalFormatting>
  <conditionalFormatting sqref="E78">
    <cfRule type="cellIs" dxfId="1774" priority="2807" operator="equal">
      <formula>1</formula>
    </cfRule>
  </conditionalFormatting>
  <conditionalFormatting sqref="E78">
    <cfRule type="colorScale" priority="2808">
      <colorScale>
        <cfvo type="num" val="1"/>
        <cfvo type="num" val="10"/>
        <color rgb="FF00B050"/>
        <color rgb="FFFFEF9C"/>
      </colorScale>
    </cfRule>
    <cfRule type="colorScale" priority="2809">
      <colorScale>
        <cfvo type="num" val="2"/>
        <cfvo type="max"/>
        <color rgb="FF0070C0"/>
        <color rgb="FFFFEF9C"/>
      </colorScale>
    </cfRule>
  </conditionalFormatting>
  <conditionalFormatting sqref="E11">
    <cfRule type="cellIs" dxfId="1773" priority="2800" operator="equal">
      <formula>1</formula>
    </cfRule>
  </conditionalFormatting>
  <conditionalFormatting sqref="E11">
    <cfRule type="cellIs" dxfId="1772" priority="2796" operator="equal">
      <formula>1</formula>
    </cfRule>
  </conditionalFormatting>
  <conditionalFormatting sqref="E11">
    <cfRule type="cellIs" dxfId="1771" priority="2797" operator="equal">
      <formula>1</formula>
    </cfRule>
  </conditionalFormatting>
  <conditionalFormatting sqref="E11">
    <cfRule type="cellIs" dxfId="1770" priority="2798" operator="equal">
      <formula>1</formula>
    </cfRule>
  </conditionalFormatting>
  <conditionalFormatting sqref="E11">
    <cfRule type="cellIs" dxfId="1769" priority="2799" operator="equal">
      <formula>1</formula>
    </cfRule>
  </conditionalFormatting>
  <conditionalFormatting sqref="E11">
    <cfRule type="cellIs" dxfId="1768" priority="2795" operator="equal">
      <formula>1</formula>
    </cfRule>
  </conditionalFormatting>
  <conditionalFormatting sqref="E32">
    <cfRule type="cellIs" dxfId="1767" priority="2794" operator="equal">
      <formula>1</formula>
    </cfRule>
  </conditionalFormatting>
  <conditionalFormatting sqref="E60">
    <cfRule type="cellIs" dxfId="1766" priority="2792" operator="equal">
      <formula>1</formula>
    </cfRule>
  </conditionalFormatting>
  <conditionalFormatting sqref="E73:E74">
    <cfRule type="colorScale" priority="2899">
      <colorScale>
        <cfvo type="num" val="1"/>
        <cfvo type="num" val="10"/>
        <color rgb="FF00B050"/>
        <color rgb="FFFFEF9C"/>
      </colorScale>
    </cfRule>
    <cfRule type="colorScale" priority="2900">
      <colorScale>
        <cfvo type="num" val="2"/>
        <cfvo type="max"/>
        <color rgb="FF0070C0"/>
        <color rgb="FFFFEF9C"/>
      </colorScale>
    </cfRule>
  </conditionalFormatting>
  <conditionalFormatting sqref="E18">
    <cfRule type="cellIs" dxfId="1765" priority="2782" operator="equal">
      <formula>1</formula>
    </cfRule>
  </conditionalFormatting>
  <conditionalFormatting sqref="E18">
    <cfRule type="cellIs" dxfId="1764" priority="2781" operator="equal">
      <formula>1</formula>
    </cfRule>
  </conditionalFormatting>
  <conditionalFormatting sqref="E77">
    <cfRule type="cellIs" dxfId="1763" priority="2778" operator="equal">
      <formula>1</formula>
    </cfRule>
  </conditionalFormatting>
  <conditionalFormatting sqref="E77">
    <cfRule type="colorScale" priority="2779">
      <colorScale>
        <cfvo type="num" val="1"/>
        <cfvo type="num" val="10"/>
        <color rgb="FF00B050"/>
        <color rgb="FFFFEF9C"/>
      </colorScale>
    </cfRule>
    <cfRule type="colorScale" priority="2780">
      <colorScale>
        <cfvo type="num" val="2"/>
        <cfvo type="max"/>
        <color rgb="FF0070C0"/>
        <color rgb="FFFFEF9C"/>
      </colorScale>
    </cfRule>
  </conditionalFormatting>
  <conditionalFormatting sqref="E76">
    <cfRule type="cellIs" dxfId="1762" priority="2775" operator="equal">
      <formula>1</formula>
    </cfRule>
  </conditionalFormatting>
  <conditionalFormatting sqref="E76">
    <cfRule type="colorScale" priority="2776">
      <colorScale>
        <cfvo type="num" val="1"/>
        <cfvo type="num" val="10"/>
        <color rgb="FF00B050"/>
        <color rgb="FFFFEF9C"/>
      </colorScale>
    </cfRule>
    <cfRule type="colorScale" priority="2777">
      <colorScale>
        <cfvo type="num" val="2"/>
        <cfvo type="max"/>
        <color rgb="FF0070C0"/>
        <color rgb="FFFFEF9C"/>
      </colorScale>
    </cfRule>
  </conditionalFormatting>
  <conditionalFormatting sqref="E31">
    <cfRule type="cellIs" dxfId="1761" priority="2774" operator="equal">
      <formula>1</formula>
    </cfRule>
  </conditionalFormatting>
  <conditionalFormatting sqref="E31">
    <cfRule type="cellIs" dxfId="1760" priority="2773" operator="equal">
      <formula>1</formula>
    </cfRule>
  </conditionalFormatting>
  <conditionalFormatting sqref="E33">
    <cfRule type="cellIs" dxfId="1759" priority="2772" operator="equal">
      <formula>1</formula>
    </cfRule>
  </conditionalFormatting>
  <conditionalFormatting sqref="E33">
    <cfRule type="cellIs" dxfId="1758" priority="2771" operator="equal">
      <formula>1</formula>
    </cfRule>
  </conditionalFormatting>
  <conditionalFormatting sqref="E82">
    <cfRule type="cellIs" dxfId="1757" priority="2770" operator="equal">
      <formula>1</formula>
    </cfRule>
  </conditionalFormatting>
  <conditionalFormatting sqref="E84:E86">
    <cfRule type="cellIs" dxfId="1756" priority="2767" operator="equal">
      <formula>1</formula>
    </cfRule>
  </conditionalFormatting>
  <conditionalFormatting sqref="E83">
    <cfRule type="cellIs" dxfId="1755" priority="2766" operator="equal">
      <formula>1</formula>
    </cfRule>
  </conditionalFormatting>
  <conditionalFormatting sqref="E83">
    <cfRule type="cellIs" dxfId="1754" priority="2765" operator="equal">
      <formula>1</formula>
    </cfRule>
  </conditionalFormatting>
  <conditionalFormatting sqref="E84:E86 E82">
    <cfRule type="colorScale" priority="2768">
      <colorScale>
        <cfvo type="num" val="1"/>
        <cfvo type="num" val="10"/>
        <color rgb="FF00B050"/>
        <color rgb="FFFFEF9C"/>
      </colorScale>
    </cfRule>
    <cfRule type="colorScale" priority="2769">
      <colorScale>
        <cfvo type="num" val="2"/>
        <cfvo type="max"/>
        <color rgb="FF0070C0"/>
        <color rgb="FFFFEF9C"/>
      </colorScale>
    </cfRule>
  </conditionalFormatting>
  <conditionalFormatting sqref="F42">
    <cfRule type="cellIs" dxfId="1753" priority="2709" operator="equal">
      <formula>1</formula>
    </cfRule>
  </conditionalFormatting>
  <conditionalFormatting sqref="E5">
    <cfRule type="cellIs" dxfId="1752" priority="2762" operator="equal">
      <formula>1</formula>
    </cfRule>
  </conditionalFormatting>
  <conditionalFormatting sqref="F42">
    <cfRule type="cellIs" dxfId="1751" priority="2708" operator="equal">
      <formula>1</formula>
    </cfRule>
  </conditionalFormatting>
  <conditionalFormatting sqref="E5">
    <cfRule type="cellIs" dxfId="1750" priority="2761" operator="equal">
      <formula>1</formula>
    </cfRule>
  </conditionalFormatting>
  <conditionalFormatting sqref="F69:F74">
    <cfRule type="cellIs" dxfId="1749" priority="2756" operator="equal">
      <formula>1</formula>
    </cfRule>
  </conditionalFormatting>
  <conditionalFormatting sqref="F51">
    <cfRule type="cellIs" dxfId="1748" priority="2755" operator="equal">
      <formula>1</formula>
    </cfRule>
  </conditionalFormatting>
  <conditionalFormatting sqref="F37:F38 F43:F48">
    <cfRule type="cellIs" dxfId="1747" priority="2753" operator="equal">
      <formula>1</formula>
    </cfRule>
  </conditionalFormatting>
  <conditionalFormatting sqref="F65:F67">
    <cfRule type="cellIs" dxfId="1746" priority="2744" operator="equal">
      <formula>1</formula>
    </cfRule>
  </conditionalFormatting>
  <conditionalFormatting sqref="F34:F35">
    <cfRule type="cellIs" dxfId="1745" priority="2743" operator="equal">
      <formula>1</formula>
    </cfRule>
  </conditionalFormatting>
  <conditionalFormatting sqref="F10">
    <cfRule type="cellIs" dxfId="1744" priority="2730" operator="equal">
      <formula>1</formula>
    </cfRule>
  </conditionalFormatting>
  <conditionalFormatting sqref="F40">
    <cfRule type="cellIs" dxfId="1743" priority="2731" operator="equal">
      <formula>1</formula>
    </cfRule>
  </conditionalFormatting>
  <conditionalFormatting sqref="F44">
    <cfRule type="cellIs" dxfId="1742" priority="2732" operator="equal">
      <formula>1</formula>
    </cfRule>
  </conditionalFormatting>
  <conditionalFormatting sqref="F59">
    <cfRule type="cellIs" dxfId="1741" priority="2733" operator="equal">
      <formula>1</formula>
    </cfRule>
  </conditionalFormatting>
  <conditionalFormatting sqref="F12">
    <cfRule type="cellIs" dxfId="1740" priority="2734" operator="equal">
      <formula>1</formula>
    </cfRule>
  </conditionalFormatting>
  <conditionalFormatting sqref="F25">
    <cfRule type="cellIs" dxfId="1739" priority="2735" operator="equal">
      <formula>1</formula>
    </cfRule>
  </conditionalFormatting>
  <conditionalFormatting sqref="F13">
    <cfRule type="cellIs" dxfId="1738" priority="2736" operator="equal">
      <formula>1</formula>
    </cfRule>
  </conditionalFormatting>
  <conditionalFormatting sqref="F14">
    <cfRule type="cellIs" dxfId="1737" priority="2737" operator="equal">
      <formula>1</formula>
    </cfRule>
  </conditionalFormatting>
  <conditionalFormatting sqref="F57">
    <cfRule type="cellIs" dxfId="1736" priority="2738" operator="equal">
      <formula>1</formula>
    </cfRule>
  </conditionalFormatting>
  <conditionalFormatting sqref="F57">
    <cfRule type="cellIs" dxfId="1735" priority="2739" operator="equal">
      <formula>1</formula>
    </cfRule>
  </conditionalFormatting>
  <conditionalFormatting sqref="F38">
    <cfRule type="cellIs" dxfId="1734" priority="2740" operator="equal">
      <formula>1</formula>
    </cfRule>
  </conditionalFormatting>
  <conditionalFormatting sqref="F23">
    <cfRule type="cellIs" dxfId="1733" priority="2741" operator="equal">
      <formula>1</formula>
    </cfRule>
  </conditionalFormatting>
  <conditionalFormatting sqref="F8">
    <cfRule type="cellIs" dxfId="1732" priority="2742" operator="equal">
      <formula>1</formula>
    </cfRule>
  </conditionalFormatting>
  <conditionalFormatting sqref="F9">
    <cfRule type="cellIs" dxfId="1731" priority="2729" operator="equal">
      <formula>1</formula>
    </cfRule>
  </conditionalFormatting>
  <conditionalFormatting sqref="F15:F16">
    <cfRule type="cellIs" dxfId="1730" priority="2728" operator="equal">
      <formula>1</formula>
    </cfRule>
  </conditionalFormatting>
  <conditionalFormatting sqref="F26 F20">
    <cfRule type="cellIs" dxfId="1729" priority="2724" operator="equal">
      <formula>1</formula>
    </cfRule>
  </conditionalFormatting>
  <conditionalFormatting sqref="F43">
    <cfRule type="cellIs" dxfId="1728" priority="2726" operator="equal">
      <formula>1</formula>
    </cfRule>
  </conditionalFormatting>
  <conditionalFormatting sqref="F26">
    <cfRule type="cellIs" dxfId="1727" priority="2727" operator="equal">
      <formula>1</formula>
    </cfRule>
  </conditionalFormatting>
  <conditionalFormatting sqref="F23">
    <cfRule type="cellIs" dxfId="1726" priority="2723" operator="equal">
      <formula>1</formula>
    </cfRule>
  </conditionalFormatting>
  <conditionalFormatting sqref="F7:F8">
    <cfRule type="cellIs" dxfId="1725" priority="2718" operator="equal">
      <formula>1</formula>
    </cfRule>
  </conditionalFormatting>
  <conditionalFormatting sqref="F8">
    <cfRule type="cellIs" dxfId="1724" priority="2719" operator="equal">
      <formula>1</formula>
    </cfRule>
  </conditionalFormatting>
  <conditionalFormatting sqref="F8">
    <cfRule type="cellIs" dxfId="1723" priority="2720" operator="equal">
      <formula>1</formula>
    </cfRule>
  </conditionalFormatting>
  <conditionalFormatting sqref="F8">
    <cfRule type="cellIs" dxfId="1722" priority="2721" operator="equal">
      <formula>1</formula>
    </cfRule>
  </conditionalFormatting>
  <conditionalFormatting sqref="F20 F26">
    <cfRule type="cellIs" dxfId="1721" priority="2722" operator="equal">
      <formula>1</formula>
    </cfRule>
  </conditionalFormatting>
  <conditionalFormatting sqref="F7:F10 F12:F16 F57 F59 F20 F53">
    <cfRule type="cellIs" dxfId="1720" priority="2717" operator="equal">
      <formula>1</formula>
    </cfRule>
  </conditionalFormatting>
  <conditionalFormatting sqref="F22">
    <cfRule type="cellIs" dxfId="1719" priority="2716" operator="equal">
      <formula>1</formula>
    </cfRule>
  </conditionalFormatting>
  <conditionalFormatting sqref="F58">
    <cfRule type="cellIs" dxfId="1718" priority="2701" operator="equal">
      <formula>1</formula>
    </cfRule>
  </conditionalFormatting>
  <conditionalFormatting sqref="F58">
    <cfRule type="cellIs" dxfId="1717" priority="2702" operator="equal">
      <formula>1</formula>
    </cfRule>
  </conditionalFormatting>
  <conditionalFormatting sqref="F19">
    <cfRule type="cellIs" dxfId="1716" priority="2715" operator="equal">
      <formula>1</formula>
    </cfRule>
  </conditionalFormatting>
  <conditionalFormatting sqref="F55">
    <cfRule type="cellIs" dxfId="1715" priority="2710" operator="equal">
      <formula>1</formula>
    </cfRule>
  </conditionalFormatting>
  <conditionalFormatting sqref="F55">
    <cfRule type="cellIs" dxfId="1714" priority="2711" operator="equal">
      <formula>1</formula>
    </cfRule>
  </conditionalFormatting>
  <conditionalFormatting sqref="F55">
    <cfRule type="cellIs" dxfId="1713" priority="2712" operator="equal">
      <formula>1</formula>
    </cfRule>
  </conditionalFormatting>
  <conditionalFormatting sqref="F55">
    <cfRule type="cellIs" dxfId="1712" priority="2713" operator="equal">
      <formula>1</formula>
    </cfRule>
  </conditionalFormatting>
  <conditionalFormatting sqref="F55">
    <cfRule type="cellIs" dxfId="1711" priority="2714" operator="equal">
      <formula>1</formula>
    </cfRule>
  </conditionalFormatting>
  <conditionalFormatting sqref="F56">
    <cfRule type="cellIs" dxfId="1710" priority="2703" operator="equal">
      <formula>1</formula>
    </cfRule>
  </conditionalFormatting>
  <conditionalFormatting sqref="F56">
    <cfRule type="cellIs" dxfId="1709" priority="2704" operator="equal">
      <formula>1</formula>
    </cfRule>
  </conditionalFormatting>
  <conditionalFormatting sqref="F56">
    <cfRule type="cellIs" dxfId="1708" priority="2705" operator="equal">
      <formula>1</formula>
    </cfRule>
  </conditionalFormatting>
  <conditionalFormatting sqref="F56">
    <cfRule type="cellIs" dxfId="1707" priority="2706" operator="equal">
      <formula>1</formula>
    </cfRule>
  </conditionalFormatting>
  <conditionalFormatting sqref="F56">
    <cfRule type="cellIs" dxfId="1706" priority="2707" operator="equal">
      <formula>1</formula>
    </cfRule>
  </conditionalFormatting>
  <conditionalFormatting sqref="F28:F30">
    <cfRule type="cellIs" dxfId="1705" priority="2700" operator="equal">
      <formula>1</formula>
    </cfRule>
  </conditionalFormatting>
  <conditionalFormatting sqref="F52">
    <cfRule type="cellIs" dxfId="1704" priority="2699" operator="equal">
      <formula>1</formula>
    </cfRule>
  </conditionalFormatting>
  <conditionalFormatting sqref="F52">
    <cfRule type="cellIs" dxfId="1703" priority="2698" operator="equal">
      <formula>1</formula>
    </cfRule>
  </conditionalFormatting>
  <conditionalFormatting sqref="F36">
    <cfRule type="cellIs" dxfId="1702" priority="2697" operator="equal">
      <formula>1</formula>
    </cfRule>
  </conditionalFormatting>
  <conditionalFormatting sqref="F36">
    <cfRule type="cellIs" dxfId="1701" priority="2696" operator="equal">
      <formula>1</formula>
    </cfRule>
  </conditionalFormatting>
  <conditionalFormatting sqref="F54">
    <cfRule type="cellIs" dxfId="1700" priority="2691" operator="equal">
      <formula>1</formula>
    </cfRule>
  </conditionalFormatting>
  <conditionalFormatting sqref="F54">
    <cfRule type="cellIs" dxfId="1699" priority="2692" operator="equal">
      <formula>1</formula>
    </cfRule>
  </conditionalFormatting>
  <conditionalFormatting sqref="F54">
    <cfRule type="cellIs" dxfId="1698" priority="2693" operator="equal">
      <formula>1</formula>
    </cfRule>
  </conditionalFormatting>
  <conditionalFormatting sqref="F54">
    <cfRule type="cellIs" dxfId="1697" priority="2694" operator="equal">
      <formula>1</formula>
    </cfRule>
  </conditionalFormatting>
  <conditionalFormatting sqref="F54">
    <cfRule type="cellIs" dxfId="1696" priority="2695" operator="equal">
      <formula>1</formula>
    </cfRule>
  </conditionalFormatting>
  <conditionalFormatting sqref="F17">
    <cfRule type="cellIs" dxfId="1695" priority="2690" operator="equal">
      <formula>1</formula>
    </cfRule>
  </conditionalFormatting>
  <conditionalFormatting sqref="F17">
    <cfRule type="cellIs" dxfId="1694" priority="2689" operator="equal">
      <formula>1</formula>
    </cfRule>
  </conditionalFormatting>
  <conditionalFormatting sqref="F49">
    <cfRule type="cellIs" dxfId="1693" priority="2688" operator="equal">
      <formula>1</formula>
    </cfRule>
  </conditionalFormatting>
  <conditionalFormatting sqref="F80:F81">
    <cfRule type="cellIs" dxfId="1692" priority="2681" operator="equal">
      <formula>1</formula>
    </cfRule>
  </conditionalFormatting>
  <conditionalFormatting sqref="F75">
    <cfRule type="cellIs" dxfId="1691" priority="2680" operator="equal">
      <formula>1</formula>
    </cfRule>
  </conditionalFormatting>
  <conditionalFormatting sqref="F79">
    <cfRule type="cellIs" dxfId="1690" priority="2677" operator="equal">
      <formula>1</formula>
    </cfRule>
  </conditionalFormatting>
  <conditionalFormatting sqref="F21">
    <cfRule type="cellIs" dxfId="1689" priority="2676" operator="equal">
      <formula>1</formula>
    </cfRule>
  </conditionalFormatting>
  <conditionalFormatting sqref="F68">
    <cfRule type="cellIs" dxfId="1688" priority="2673" operator="equal">
      <formula>1</formula>
    </cfRule>
  </conditionalFormatting>
  <conditionalFormatting sqref="F6">
    <cfRule type="cellIs" dxfId="1687" priority="2672" operator="equal">
      <formula>1</formula>
    </cfRule>
  </conditionalFormatting>
  <conditionalFormatting sqref="F27">
    <cfRule type="cellIs" dxfId="1686" priority="2671" operator="equal">
      <formula>1</formula>
    </cfRule>
  </conditionalFormatting>
  <conditionalFormatting sqref="F69:F72">
    <cfRule type="colorScale" priority="2745">
      <colorScale>
        <cfvo type="num" val="1"/>
        <cfvo type="num" val="10"/>
        <color rgb="FF00B050"/>
        <color rgb="FFFFEF9C"/>
      </colorScale>
    </cfRule>
    <cfRule type="colorScale" priority="2746">
      <colorScale>
        <cfvo type="num" val="2"/>
        <cfvo type="max"/>
        <color rgb="FF0070C0"/>
        <color rgb="FFFFEF9C"/>
      </colorScale>
    </cfRule>
  </conditionalFormatting>
  <conditionalFormatting sqref="F68">
    <cfRule type="colorScale" priority="2751">
      <colorScale>
        <cfvo type="num" val="1"/>
        <cfvo type="num" val="10"/>
        <color rgb="FF00B050"/>
        <color rgb="FFFFEF9C"/>
      </colorScale>
    </cfRule>
    <cfRule type="colorScale" priority="2752">
      <colorScale>
        <cfvo type="num" val="2"/>
        <cfvo type="max"/>
        <color rgb="FF0070C0"/>
        <color rgb="FFFFEF9C"/>
      </colorScale>
    </cfRule>
  </conditionalFormatting>
  <conditionalFormatting sqref="F50">
    <cfRule type="cellIs" dxfId="1685" priority="2670" operator="equal">
      <formula>1</formula>
    </cfRule>
  </conditionalFormatting>
  <conditionalFormatting sqref="F78">
    <cfRule type="cellIs" dxfId="1684" priority="2667" operator="equal">
      <formula>1</formula>
    </cfRule>
  </conditionalFormatting>
  <conditionalFormatting sqref="F78">
    <cfRule type="colorScale" priority="2668">
      <colorScale>
        <cfvo type="num" val="1"/>
        <cfvo type="num" val="10"/>
        <color rgb="FF00B050"/>
        <color rgb="FFFFEF9C"/>
      </colorScale>
    </cfRule>
    <cfRule type="colorScale" priority="2669">
      <colorScale>
        <cfvo type="num" val="2"/>
        <cfvo type="max"/>
        <color rgb="FF0070C0"/>
        <color rgb="FFFFEF9C"/>
      </colorScale>
    </cfRule>
  </conditionalFormatting>
  <conditionalFormatting sqref="F11">
    <cfRule type="cellIs" dxfId="1683" priority="2660" operator="equal">
      <formula>1</formula>
    </cfRule>
  </conditionalFormatting>
  <conditionalFormatting sqref="F11">
    <cfRule type="cellIs" dxfId="1682" priority="2656" operator="equal">
      <formula>1</formula>
    </cfRule>
  </conditionalFormatting>
  <conditionalFormatting sqref="F11">
    <cfRule type="cellIs" dxfId="1681" priority="2657" operator="equal">
      <formula>1</formula>
    </cfRule>
  </conditionalFormatting>
  <conditionalFormatting sqref="F11">
    <cfRule type="cellIs" dxfId="1680" priority="2658" operator="equal">
      <formula>1</formula>
    </cfRule>
  </conditionalFormatting>
  <conditionalFormatting sqref="F11">
    <cfRule type="cellIs" dxfId="1679" priority="2659" operator="equal">
      <formula>1</formula>
    </cfRule>
  </conditionalFormatting>
  <conditionalFormatting sqref="F11">
    <cfRule type="cellIs" dxfId="1678" priority="2655" operator="equal">
      <formula>1</formula>
    </cfRule>
  </conditionalFormatting>
  <conditionalFormatting sqref="F32">
    <cfRule type="cellIs" dxfId="1677" priority="2654" operator="equal">
      <formula>1</formula>
    </cfRule>
  </conditionalFormatting>
  <conditionalFormatting sqref="F60">
    <cfRule type="cellIs" dxfId="1676" priority="2652" operator="equal">
      <formula>1</formula>
    </cfRule>
  </conditionalFormatting>
  <conditionalFormatting sqref="F73:F74">
    <cfRule type="colorScale" priority="2759">
      <colorScale>
        <cfvo type="num" val="1"/>
        <cfvo type="num" val="10"/>
        <color rgb="FF00B050"/>
        <color rgb="FFFFEF9C"/>
      </colorScale>
    </cfRule>
    <cfRule type="colorScale" priority="2760">
      <colorScale>
        <cfvo type="num" val="2"/>
        <cfvo type="max"/>
        <color rgb="FF0070C0"/>
        <color rgb="FFFFEF9C"/>
      </colorScale>
    </cfRule>
  </conditionalFormatting>
  <conditionalFormatting sqref="F18">
    <cfRule type="cellIs" dxfId="1675" priority="2642" operator="equal">
      <formula>1</formula>
    </cfRule>
  </conditionalFormatting>
  <conditionalFormatting sqref="F18">
    <cfRule type="cellIs" dxfId="1674" priority="2641" operator="equal">
      <formula>1</formula>
    </cfRule>
  </conditionalFormatting>
  <conditionalFormatting sqref="F77">
    <cfRule type="cellIs" dxfId="1673" priority="2638" operator="equal">
      <formula>1</formula>
    </cfRule>
  </conditionalFormatting>
  <conditionalFormatting sqref="F77">
    <cfRule type="colorScale" priority="2639">
      <colorScale>
        <cfvo type="num" val="1"/>
        <cfvo type="num" val="10"/>
        <color rgb="FF00B050"/>
        <color rgb="FFFFEF9C"/>
      </colorScale>
    </cfRule>
    <cfRule type="colorScale" priority="2640">
      <colorScale>
        <cfvo type="num" val="2"/>
        <cfvo type="max"/>
        <color rgb="FF0070C0"/>
        <color rgb="FFFFEF9C"/>
      </colorScale>
    </cfRule>
  </conditionalFormatting>
  <conditionalFormatting sqref="F76">
    <cfRule type="cellIs" dxfId="1672" priority="2635" operator="equal">
      <formula>1</formula>
    </cfRule>
  </conditionalFormatting>
  <conditionalFormatting sqref="F76">
    <cfRule type="colorScale" priority="2636">
      <colorScale>
        <cfvo type="num" val="1"/>
        <cfvo type="num" val="10"/>
        <color rgb="FF00B050"/>
        <color rgb="FFFFEF9C"/>
      </colorScale>
    </cfRule>
    <cfRule type="colorScale" priority="2637">
      <colorScale>
        <cfvo type="num" val="2"/>
        <cfvo type="max"/>
        <color rgb="FF0070C0"/>
        <color rgb="FFFFEF9C"/>
      </colorScale>
    </cfRule>
  </conditionalFormatting>
  <conditionalFormatting sqref="F31">
    <cfRule type="cellIs" dxfId="1671" priority="2634" operator="equal">
      <formula>1</formula>
    </cfRule>
  </conditionalFormatting>
  <conditionalFormatting sqref="F31">
    <cfRule type="cellIs" dxfId="1670" priority="2633" operator="equal">
      <formula>1</formula>
    </cfRule>
  </conditionalFormatting>
  <conditionalFormatting sqref="F33">
    <cfRule type="cellIs" dxfId="1669" priority="2632" operator="equal">
      <formula>1</formula>
    </cfRule>
  </conditionalFormatting>
  <conditionalFormatting sqref="F33">
    <cfRule type="cellIs" dxfId="1668" priority="2631" operator="equal">
      <formula>1</formula>
    </cfRule>
  </conditionalFormatting>
  <conditionalFormatting sqref="F82">
    <cfRule type="cellIs" dxfId="1667" priority="2630" operator="equal">
      <formula>1</formula>
    </cfRule>
  </conditionalFormatting>
  <conditionalFormatting sqref="F84:F86">
    <cfRule type="cellIs" dxfId="1666" priority="2627" operator="equal">
      <formula>1</formula>
    </cfRule>
  </conditionalFormatting>
  <conditionalFormatting sqref="F83">
    <cfRule type="cellIs" dxfId="1665" priority="2626" operator="equal">
      <formula>1</formula>
    </cfRule>
  </conditionalFormatting>
  <conditionalFormatting sqref="F83">
    <cfRule type="cellIs" dxfId="1664" priority="2625" operator="equal">
      <formula>1</formula>
    </cfRule>
  </conditionalFormatting>
  <conditionalFormatting sqref="F84:F86 F82">
    <cfRule type="colorScale" priority="2628">
      <colorScale>
        <cfvo type="num" val="1"/>
        <cfvo type="num" val="10"/>
        <color rgb="FF00B050"/>
        <color rgb="FFFFEF9C"/>
      </colorScale>
    </cfRule>
    <cfRule type="colorScale" priority="2629">
      <colorScale>
        <cfvo type="num" val="2"/>
        <cfvo type="max"/>
        <color rgb="FF0070C0"/>
        <color rgb="FFFFEF9C"/>
      </colorScale>
    </cfRule>
  </conditionalFormatting>
  <conditionalFormatting sqref="F5">
    <cfRule type="cellIs" dxfId="1663" priority="2622" operator="equal">
      <formula>1</formula>
    </cfRule>
  </conditionalFormatting>
  <conditionalFormatting sqref="F5">
    <cfRule type="cellIs" dxfId="1662" priority="2621" operator="equal">
      <formula>1</formula>
    </cfRule>
  </conditionalFormatting>
  <conditionalFormatting sqref="E39">
    <cfRule type="cellIs" dxfId="1661" priority="2586" operator="equal">
      <formula>1</formula>
    </cfRule>
  </conditionalFormatting>
  <conditionalFormatting sqref="E39">
    <cfRule type="cellIs" dxfId="1660" priority="2585" operator="equal">
      <formula>1</formula>
    </cfRule>
  </conditionalFormatting>
  <conditionalFormatting sqref="F39">
    <cfRule type="cellIs" dxfId="1659" priority="2584" operator="equal">
      <formula>1</formula>
    </cfRule>
  </conditionalFormatting>
  <conditionalFormatting sqref="F39">
    <cfRule type="cellIs" dxfId="1658" priority="2583" operator="equal">
      <formula>1</formula>
    </cfRule>
  </conditionalFormatting>
  <conditionalFormatting sqref="G25:G26 G40:G41">
    <cfRule type="cellIs" dxfId="1657" priority="2582" operator="equal">
      <formula>1</formula>
    </cfRule>
  </conditionalFormatting>
  <conditionalFormatting sqref="G69:G74">
    <cfRule type="cellIs" dxfId="1656" priority="2577" operator="equal">
      <formula>1</formula>
    </cfRule>
  </conditionalFormatting>
  <conditionalFormatting sqref="G51">
    <cfRule type="cellIs" dxfId="1655" priority="2576" operator="equal">
      <formula>1</formula>
    </cfRule>
  </conditionalFormatting>
  <conditionalFormatting sqref="G37:G38 G43:G48">
    <cfRule type="cellIs" dxfId="1654" priority="2574" operator="equal">
      <formula>1</formula>
    </cfRule>
  </conditionalFormatting>
  <conditionalFormatting sqref="G65:G67">
    <cfRule type="cellIs" dxfId="1653" priority="2565" operator="equal">
      <formula>1</formula>
    </cfRule>
  </conditionalFormatting>
  <conditionalFormatting sqref="G34:G35">
    <cfRule type="cellIs" dxfId="1652" priority="2564" operator="equal">
      <formula>1</formula>
    </cfRule>
  </conditionalFormatting>
  <conditionalFormatting sqref="G10">
    <cfRule type="cellIs" dxfId="1651" priority="2551" operator="equal">
      <formula>1</formula>
    </cfRule>
  </conditionalFormatting>
  <conditionalFormatting sqref="G40">
    <cfRule type="cellIs" dxfId="1650" priority="2552" operator="equal">
      <formula>1</formula>
    </cfRule>
  </conditionalFormatting>
  <conditionalFormatting sqref="G44">
    <cfRule type="cellIs" dxfId="1649" priority="2553" operator="equal">
      <formula>1</formula>
    </cfRule>
  </conditionalFormatting>
  <conditionalFormatting sqref="G59">
    <cfRule type="cellIs" dxfId="1648" priority="2554" operator="equal">
      <formula>1</formula>
    </cfRule>
  </conditionalFormatting>
  <conditionalFormatting sqref="G12">
    <cfRule type="cellIs" dxfId="1647" priority="2555" operator="equal">
      <formula>1</formula>
    </cfRule>
  </conditionalFormatting>
  <conditionalFormatting sqref="G25">
    <cfRule type="cellIs" dxfId="1646" priority="2556" operator="equal">
      <formula>1</formula>
    </cfRule>
  </conditionalFormatting>
  <conditionalFormatting sqref="G13">
    <cfRule type="cellIs" dxfId="1645" priority="2557" operator="equal">
      <formula>1</formula>
    </cfRule>
  </conditionalFormatting>
  <conditionalFormatting sqref="G14">
    <cfRule type="cellIs" dxfId="1644" priority="2558" operator="equal">
      <formula>1</formula>
    </cfRule>
  </conditionalFormatting>
  <conditionalFormatting sqref="G57">
    <cfRule type="cellIs" dxfId="1643" priority="2559" operator="equal">
      <formula>1</formula>
    </cfRule>
  </conditionalFormatting>
  <conditionalFormatting sqref="G57">
    <cfRule type="cellIs" dxfId="1642" priority="2560" operator="equal">
      <formula>1</formula>
    </cfRule>
  </conditionalFormatting>
  <conditionalFormatting sqref="G38">
    <cfRule type="cellIs" dxfId="1641" priority="2561" operator="equal">
      <formula>1</formula>
    </cfRule>
  </conditionalFormatting>
  <conditionalFormatting sqref="G23">
    <cfRule type="cellIs" dxfId="1640" priority="2562" operator="equal">
      <formula>1</formula>
    </cfRule>
  </conditionalFormatting>
  <conditionalFormatting sqref="G8">
    <cfRule type="cellIs" dxfId="1639" priority="2563" operator="equal">
      <formula>1</formula>
    </cfRule>
  </conditionalFormatting>
  <conditionalFormatting sqref="G9">
    <cfRule type="cellIs" dxfId="1638" priority="2550" operator="equal">
      <formula>1</formula>
    </cfRule>
  </conditionalFormatting>
  <conditionalFormatting sqref="G15:G16">
    <cfRule type="cellIs" dxfId="1637" priority="2549" operator="equal">
      <formula>1</formula>
    </cfRule>
  </conditionalFormatting>
  <conditionalFormatting sqref="G26 G20">
    <cfRule type="cellIs" dxfId="1636" priority="2546" operator="equal">
      <formula>1</formula>
    </cfRule>
  </conditionalFormatting>
  <conditionalFormatting sqref="G43">
    <cfRule type="cellIs" dxfId="1635" priority="2547" operator="equal">
      <formula>1</formula>
    </cfRule>
  </conditionalFormatting>
  <conditionalFormatting sqref="G26">
    <cfRule type="cellIs" dxfId="1634" priority="2548" operator="equal">
      <formula>1</formula>
    </cfRule>
  </conditionalFormatting>
  <conditionalFormatting sqref="G23">
    <cfRule type="cellIs" dxfId="1633" priority="2545" operator="equal">
      <formula>1</formula>
    </cfRule>
  </conditionalFormatting>
  <conditionalFormatting sqref="G7:G8">
    <cfRule type="cellIs" dxfId="1632" priority="2540" operator="equal">
      <formula>1</formula>
    </cfRule>
  </conditionalFormatting>
  <conditionalFormatting sqref="G8">
    <cfRule type="cellIs" dxfId="1631" priority="2541" operator="equal">
      <formula>1</formula>
    </cfRule>
  </conditionalFormatting>
  <conditionalFormatting sqref="G8">
    <cfRule type="cellIs" dxfId="1630" priority="2542" operator="equal">
      <formula>1</formula>
    </cfRule>
  </conditionalFormatting>
  <conditionalFormatting sqref="G8">
    <cfRule type="cellIs" dxfId="1629" priority="2543" operator="equal">
      <formula>1</formula>
    </cfRule>
  </conditionalFormatting>
  <conditionalFormatting sqref="G20 G26">
    <cfRule type="cellIs" dxfId="1628" priority="2544" operator="equal">
      <formula>1</formula>
    </cfRule>
  </conditionalFormatting>
  <conditionalFormatting sqref="G7:G10 G12:G16 G57 G59 G20 G53">
    <cfRule type="cellIs" dxfId="1627" priority="2539" operator="equal">
      <formula>1</formula>
    </cfRule>
  </conditionalFormatting>
  <conditionalFormatting sqref="G22">
    <cfRule type="cellIs" dxfId="1626" priority="2538" operator="equal">
      <formula>1</formula>
    </cfRule>
  </conditionalFormatting>
  <conditionalFormatting sqref="G58">
    <cfRule type="cellIs" dxfId="1625" priority="2523" operator="equal">
      <formula>1</formula>
    </cfRule>
  </conditionalFormatting>
  <conditionalFormatting sqref="G58">
    <cfRule type="cellIs" dxfId="1624" priority="2524" operator="equal">
      <formula>1</formula>
    </cfRule>
  </conditionalFormatting>
  <conditionalFormatting sqref="G19">
    <cfRule type="cellIs" dxfId="1623" priority="2537" operator="equal">
      <formula>1</formula>
    </cfRule>
  </conditionalFormatting>
  <conditionalFormatting sqref="G55">
    <cfRule type="cellIs" dxfId="1622" priority="2532" operator="equal">
      <formula>1</formula>
    </cfRule>
  </conditionalFormatting>
  <conditionalFormatting sqref="G55">
    <cfRule type="cellIs" dxfId="1621" priority="2533" operator="equal">
      <formula>1</formula>
    </cfRule>
  </conditionalFormatting>
  <conditionalFormatting sqref="G55">
    <cfRule type="cellIs" dxfId="1620" priority="2534" operator="equal">
      <formula>1</formula>
    </cfRule>
  </conditionalFormatting>
  <conditionalFormatting sqref="G55">
    <cfRule type="cellIs" dxfId="1619" priority="2535" operator="equal">
      <formula>1</formula>
    </cfRule>
  </conditionalFormatting>
  <conditionalFormatting sqref="G55">
    <cfRule type="cellIs" dxfId="1618" priority="2536" operator="equal">
      <formula>1</formula>
    </cfRule>
  </conditionalFormatting>
  <conditionalFormatting sqref="G42">
    <cfRule type="cellIs" dxfId="1617" priority="2530" operator="equal">
      <formula>1</formula>
    </cfRule>
  </conditionalFormatting>
  <conditionalFormatting sqref="G42">
    <cfRule type="cellIs" dxfId="1616" priority="2531" operator="equal">
      <formula>1</formula>
    </cfRule>
  </conditionalFormatting>
  <conditionalFormatting sqref="G56">
    <cfRule type="cellIs" dxfId="1615" priority="2525" operator="equal">
      <formula>1</formula>
    </cfRule>
  </conditionalFormatting>
  <conditionalFormatting sqref="G56">
    <cfRule type="cellIs" dxfId="1614" priority="2526" operator="equal">
      <formula>1</formula>
    </cfRule>
  </conditionalFormatting>
  <conditionalFormatting sqref="G56">
    <cfRule type="cellIs" dxfId="1613" priority="2527" operator="equal">
      <formula>1</formula>
    </cfRule>
  </conditionalFormatting>
  <conditionalFormatting sqref="G56">
    <cfRule type="cellIs" dxfId="1612" priority="2528" operator="equal">
      <formula>1</formula>
    </cfRule>
  </conditionalFormatting>
  <conditionalFormatting sqref="G56">
    <cfRule type="cellIs" dxfId="1611" priority="2529" operator="equal">
      <formula>1</formula>
    </cfRule>
  </conditionalFormatting>
  <conditionalFormatting sqref="G28:G30">
    <cfRule type="cellIs" dxfId="1610" priority="2522" operator="equal">
      <formula>1</formula>
    </cfRule>
  </conditionalFormatting>
  <conditionalFormatting sqref="G52">
    <cfRule type="cellIs" dxfId="1609" priority="2521" operator="equal">
      <formula>1</formula>
    </cfRule>
  </conditionalFormatting>
  <conditionalFormatting sqref="G52">
    <cfRule type="cellIs" dxfId="1608" priority="2520" operator="equal">
      <formula>1</formula>
    </cfRule>
  </conditionalFormatting>
  <conditionalFormatting sqref="G36">
    <cfRule type="cellIs" dxfId="1607" priority="2519" operator="equal">
      <formula>1</formula>
    </cfRule>
  </conditionalFormatting>
  <conditionalFormatting sqref="G36">
    <cfRule type="cellIs" dxfId="1606" priority="2518" operator="equal">
      <formula>1</formula>
    </cfRule>
  </conditionalFormatting>
  <conditionalFormatting sqref="G54">
    <cfRule type="cellIs" dxfId="1605" priority="2513" operator="equal">
      <formula>1</formula>
    </cfRule>
  </conditionalFormatting>
  <conditionalFormatting sqref="G54">
    <cfRule type="cellIs" dxfId="1604" priority="2514" operator="equal">
      <formula>1</formula>
    </cfRule>
  </conditionalFormatting>
  <conditionalFormatting sqref="G54">
    <cfRule type="cellIs" dxfId="1603" priority="2515" operator="equal">
      <formula>1</formula>
    </cfRule>
  </conditionalFormatting>
  <conditionalFormatting sqref="G54">
    <cfRule type="cellIs" dxfId="1602" priority="2516" operator="equal">
      <formula>1</formula>
    </cfRule>
  </conditionalFormatting>
  <conditionalFormatting sqref="G54">
    <cfRule type="cellIs" dxfId="1601" priority="2517" operator="equal">
      <formula>1</formula>
    </cfRule>
  </conditionalFormatting>
  <conditionalFormatting sqref="G17">
    <cfRule type="cellIs" dxfId="1600" priority="2512" operator="equal">
      <formula>1</formula>
    </cfRule>
  </conditionalFormatting>
  <conditionalFormatting sqref="G17">
    <cfRule type="cellIs" dxfId="1599" priority="2511" operator="equal">
      <formula>1</formula>
    </cfRule>
  </conditionalFormatting>
  <conditionalFormatting sqref="G49">
    <cfRule type="cellIs" dxfId="1598" priority="2510" operator="equal">
      <formula>1</formula>
    </cfRule>
  </conditionalFormatting>
  <conditionalFormatting sqref="G80:G81">
    <cfRule type="cellIs" dxfId="1597" priority="2503" operator="equal">
      <formula>1</formula>
    </cfRule>
  </conditionalFormatting>
  <conditionalFormatting sqref="G75">
    <cfRule type="cellIs" dxfId="1596" priority="2502" operator="equal">
      <formula>1</formula>
    </cfRule>
  </conditionalFormatting>
  <conditionalFormatting sqref="G79">
    <cfRule type="cellIs" dxfId="1595" priority="2499" operator="equal">
      <formula>1</formula>
    </cfRule>
  </conditionalFormatting>
  <conditionalFormatting sqref="G21">
    <cfRule type="cellIs" dxfId="1594" priority="2498" operator="equal">
      <formula>1</formula>
    </cfRule>
  </conditionalFormatting>
  <conditionalFormatting sqref="G68">
    <cfRule type="cellIs" dxfId="1593" priority="2495" operator="equal">
      <formula>1</formula>
    </cfRule>
  </conditionalFormatting>
  <conditionalFormatting sqref="G6">
    <cfRule type="cellIs" dxfId="1592" priority="2494" operator="equal">
      <formula>1</formula>
    </cfRule>
  </conditionalFormatting>
  <conditionalFormatting sqref="G27">
    <cfRule type="cellIs" dxfId="1591" priority="2493" operator="equal">
      <formula>1</formula>
    </cfRule>
  </conditionalFormatting>
  <conditionalFormatting sqref="G69:G72">
    <cfRule type="colorScale" priority="2566">
      <colorScale>
        <cfvo type="num" val="1"/>
        <cfvo type="num" val="10"/>
        <color rgb="FF00B050"/>
        <color rgb="FFFFEF9C"/>
      </colorScale>
    </cfRule>
    <cfRule type="colorScale" priority="2567">
      <colorScale>
        <cfvo type="num" val="2"/>
        <cfvo type="max"/>
        <color rgb="FF0070C0"/>
        <color rgb="FFFFEF9C"/>
      </colorScale>
    </cfRule>
  </conditionalFormatting>
  <conditionalFormatting sqref="G68">
    <cfRule type="colorScale" priority="2572">
      <colorScale>
        <cfvo type="num" val="1"/>
        <cfvo type="num" val="10"/>
        <color rgb="FF00B050"/>
        <color rgb="FFFFEF9C"/>
      </colorScale>
    </cfRule>
    <cfRule type="colorScale" priority="2573">
      <colorScale>
        <cfvo type="num" val="2"/>
        <cfvo type="max"/>
        <color rgb="FF0070C0"/>
        <color rgb="FFFFEF9C"/>
      </colorScale>
    </cfRule>
  </conditionalFormatting>
  <conditionalFormatting sqref="G50">
    <cfRule type="cellIs" dxfId="1590" priority="2492" operator="equal">
      <formula>1</formula>
    </cfRule>
  </conditionalFormatting>
  <conditionalFormatting sqref="G78">
    <cfRule type="cellIs" dxfId="1589" priority="2489" operator="equal">
      <formula>1</formula>
    </cfRule>
  </conditionalFormatting>
  <conditionalFormatting sqref="G78">
    <cfRule type="colorScale" priority="2490">
      <colorScale>
        <cfvo type="num" val="1"/>
        <cfvo type="num" val="10"/>
        <color rgb="FF00B050"/>
        <color rgb="FFFFEF9C"/>
      </colorScale>
    </cfRule>
    <cfRule type="colorScale" priority="2491">
      <colorScale>
        <cfvo type="num" val="2"/>
        <cfvo type="max"/>
        <color rgb="FF0070C0"/>
        <color rgb="FFFFEF9C"/>
      </colorScale>
    </cfRule>
  </conditionalFormatting>
  <conditionalFormatting sqref="G11">
    <cfRule type="cellIs" dxfId="1588" priority="2482" operator="equal">
      <formula>1</formula>
    </cfRule>
  </conditionalFormatting>
  <conditionalFormatting sqref="G11">
    <cfRule type="cellIs" dxfId="1587" priority="2478" operator="equal">
      <formula>1</formula>
    </cfRule>
  </conditionalFormatting>
  <conditionalFormatting sqref="G11">
    <cfRule type="cellIs" dxfId="1586" priority="2479" operator="equal">
      <formula>1</formula>
    </cfRule>
  </conditionalFormatting>
  <conditionalFormatting sqref="G11">
    <cfRule type="cellIs" dxfId="1585" priority="2480" operator="equal">
      <formula>1</formula>
    </cfRule>
  </conditionalFormatting>
  <conditionalFormatting sqref="G11">
    <cfRule type="cellIs" dxfId="1584" priority="2481" operator="equal">
      <formula>1</formula>
    </cfRule>
  </conditionalFormatting>
  <conditionalFormatting sqref="G11">
    <cfRule type="cellIs" dxfId="1583" priority="2477" operator="equal">
      <formula>1</formula>
    </cfRule>
  </conditionalFormatting>
  <conditionalFormatting sqref="G32">
    <cfRule type="cellIs" dxfId="1582" priority="2476" operator="equal">
      <formula>1</formula>
    </cfRule>
  </conditionalFormatting>
  <conditionalFormatting sqref="G60">
    <cfRule type="cellIs" dxfId="1581" priority="2474" operator="equal">
      <formula>1</formula>
    </cfRule>
  </conditionalFormatting>
  <conditionalFormatting sqref="G73:G74">
    <cfRule type="colorScale" priority="2580">
      <colorScale>
        <cfvo type="num" val="1"/>
        <cfvo type="num" val="10"/>
        <color rgb="FF00B050"/>
        <color rgb="FFFFEF9C"/>
      </colorScale>
    </cfRule>
    <cfRule type="colorScale" priority="2581">
      <colorScale>
        <cfvo type="num" val="2"/>
        <cfvo type="max"/>
        <color rgb="FF0070C0"/>
        <color rgb="FFFFEF9C"/>
      </colorScale>
    </cfRule>
  </conditionalFormatting>
  <conditionalFormatting sqref="G18">
    <cfRule type="cellIs" dxfId="1580" priority="2464" operator="equal">
      <formula>1</formula>
    </cfRule>
  </conditionalFormatting>
  <conditionalFormatting sqref="G18">
    <cfRule type="cellIs" dxfId="1579" priority="2463" operator="equal">
      <formula>1</formula>
    </cfRule>
  </conditionalFormatting>
  <conditionalFormatting sqref="G77">
    <cfRule type="cellIs" dxfId="1578" priority="2460" operator="equal">
      <formula>1</formula>
    </cfRule>
  </conditionalFormatting>
  <conditionalFormatting sqref="G77">
    <cfRule type="colorScale" priority="2461">
      <colorScale>
        <cfvo type="num" val="1"/>
        <cfvo type="num" val="10"/>
        <color rgb="FF00B050"/>
        <color rgb="FFFFEF9C"/>
      </colorScale>
    </cfRule>
    <cfRule type="colorScale" priority="2462">
      <colorScale>
        <cfvo type="num" val="2"/>
        <cfvo type="max"/>
        <color rgb="FF0070C0"/>
        <color rgb="FFFFEF9C"/>
      </colorScale>
    </cfRule>
  </conditionalFormatting>
  <conditionalFormatting sqref="G76">
    <cfRule type="cellIs" dxfId="1577" priority="2457" operator="equal">
      <formula>1</formula>
    </cfRule>
  </conditionalFormatting>
  <conditionalFormatting sqref="G76">
    <cfRule type="colorScale" priority="2458">
      <colorScale>
        <cfvo type="num" val="1"/>
        <cfvo type="num" val="10"/>
        <color rgb="FF00B050"/>
        <color rgb="FFFFEF9C"/>
      </colorScale>
    </cfRule>
    <cfRule type="colorScale" priority="2459">
      <colorScale>
        <cfvo type="num" val="2"/>
        <cfvo type="max"/>
        <color rgb="FF0070C0"/>
        <color rgb="FFFFEF9C"/>
      </colorScale>
    </cfRule>
  </conditionalFormatting>
  <conditionalFormatting sqref="G31">
    <cfRule type="cellIs" dxfId="1576" priority="2456" operator="equal">
      <formula>1</formula>
    </cfRule>
  </conditionalFormatting>
  <conditionalFormatting sqref="G31">
    <cfRule type="cellIs" dxfId="1575" priority="2455" operator="equal">
      <formula>1</formula>
    </cfRule>
  </conditionalFormatting>
  <conditionalFormatting sqref="G33">
    <cfRule type="cellIs" dxfId="1574" priority="2454" operator="equal">
      <formula>1</formula>
    </cfRule>
  </conditionalFormatting>
  <conditionalFormatting sqref="G33">
    <cfRule type="cellIs" dxfId="1573" priority="2453" operator="equal">
      <formula>1</formula>
    </cfRule>
  </conditionalFormatting>
  <conditionalFormatting sqref="G82">
    <cfRule type="cellIs" dxfId="1572" priority="2452" operator="equal">
      <formula>1</formula>
    </cfRule>
  </conditionalFormatting>
  <conditionalFormatting sqref="G84:G86">
    <cfRule type="cellIs" dxfId="1571" priority="2449" operator="equal">
      <formula>1</formula>
    </cfRule>
  </conditionalFormatting>
  <conditionalFormatting sqref="G83">
    <cfRule type="cellIs" dxfId="1570" priority="2448" operator="equal">
      <formula>1</formula>
    </cfRule>
  </conditionalFormatting>
  <conditionalFormatting sqref="G83">
    <cfRule type="cellIs" dxfId="1569" priority="2447" operator="equal">
      <formula>1</formula>
    </cfRule>
  </conditionalFormatting>
  <conditionalFormatting sqref="G84:G86 G82">
    <cfRule type="colorScale" priority="2450">
      <colorScale>
        <cfvo type="num" val="1"/>
        <cfvo type="num" val="10"/>
        <color rgb="FF00B050"/>
        <color rgb="FFFFEF9C"/>
      </colorScale>
    </cfRule>
    <cfRule type="colorScale" priority="2451">
      <colorScale>
        <cfvo type="num" val="2"/>
        <cfvo type="max"/>
        <color rgb="FF0070C0"/>
        <color rgb="FFFFEF9C"/>
      </colorScale>
    </cfRule>
  </conditionalFormatting>
  <conditionalFormatting sqref="H55">
    <cfRule type="cellIs" dxfId="1568" priority="2391" operator="equal">
      <formula>1</formula>
    </cfRule>
  </conditionalFormatting>
  <conditionalFormatting sqref="G5">
    <cfRule type="cellIs" dxfId="1567" priority="2444" operator="equal">
      <formula>1</formula>
    </cfRule>
  </conditionalFormatting>
  <conditionalFormatting sqref="H55">
    <cfRule type="cellIs" dxfId="1566" priority="2390" operator="equal">
      <formula>1</formula>
    </cfRule>
  </conditionalFormatting>
  <conditionalFormatting sqref="G5">
    <cfRule type="cellIs" dxfId="1565" priority="2443" operator="equal">
      <formula>1</formula>
    </cfRule>
  </conditionalFormatting>
  <conditionalFormatting sqref="G39">
    <cfRule type="cellIs" dxfId="1564" priority="2442" operator="equal">
      <formula>1</formula>
    </cfRule>
  </conditionalFormatting>
  <conditionalFormatting sqref="G39">
    <cfRule type="cellIs" dxfId="1563" priority="2441" operator="equal">
      <formula>1</formula>
    </cfRule>
  </conditionalFormatting>
  <conditionalFormatting sqref="H25:H26 H40:H41">
    <cfRule type="cellIs" dxfId="1562" priority="2440" operator="equal">
      <formula>1</formula>
    </cfRule>
  </conditionalFormatting>
  <conditionalFormatting sqref="H69:H74">
    <cfRule type="cellIs" dxfId="1561" priority="2435" operator="equal">
      <formula>1</formula>
    </cfRule>
  </conditionalFormatting>
  <conditionalFormatting sqref="H51">
    <cfRule type="cellIs" dxfId="1560" priority="2434" operator="equal">
      <formula>1</formula>
    </cfRule>
  </conditionalFormatting>
  <conditionalFormatting sqref="H37:H38 H43:H48">
    <cfRule type="cellIs" dxfId="1559" priority="2432" operator="equal">
      <formula>1</formula>
    </cfRule>
  </conditionalFormatting>
  <conditionalFormatting sqref="H65:H67">
    <cfRule type="cellIs" dxfId="1558" priority="2423" operator="equal">
      <formula>1</formula>
    </cfRule>
  </conditionalFormatting>
  <conditionalFormatting sqref="H34:H35">
    <cfRule type="cellIs" dxfId="1557" priority="2422" operator="equal">
      <formula>1</formula>
    </cfRule>
  </conditionalFormatting>
  <conditionalFormatting sqref="H10">
    <cfRule type="cellIs" dxfId="1556" priority="2409" operator="equal">
      <formula>1</formula>
    </cfRule>
  </conditionalFormatting>
  <conditionalFormatting sqref="H40">
    <cfRule type="cellIs" dxfId="1555" priority="2410" operator="equal">
      <formula>1</formula>
    </cfRule>
  </conditionalFormatting>
  <conditionalFormatting sqref="H44">
    <cfRule type="cellIs" dxfId="1554" priority="2411" operator="equal">
      <formula>1</formula>
    </cfRule>
  </conditionalFormatting>
  <conditionalFormatting sqref="H59">
    <cfRule type="cellIs" dxfId="1553" priority="2412" operator="equal">
      <formula>1</formula>
    </cfRule>
  </conditionalFormatting>
  <conditionalFormatting sqref="H12">
    <cfRule type="cellIs" dxfId="1552" priority="2413" operator="equal">
      <formula>1</formula>
    </cfRule>
  </conditionalFormatting>
  <conditionalFormatting sqref="H25">
    <cfRule type="cellIs" dxfId="1551" priority="2414" operator="equal">
      <formula>1</formula>
    </cfRule>
  </conditionalFormatting>
  <conditionalFormatting sqref="H13">
    <cfRule type="cellIs" dxfId="1550" priority="2415" operator="equal">
      <formula>1</formula>
    </cfRule>
  </conditionalFormatting>
  <conditionalFormatting sqref="H14">
    <cfRule type="cellIs" dxfId="1549" priority="2416" operator="equal">
      <formula>1</formula>
    </cfRule>
  </conditionalFormatting>
  <conditionalFormatting sqref="H57">
    <cfRule type="cellIs" dxfId="1548" priority="2417" operator="equal">
      <formula>1</formula>
    </cfRule>
  </conditionalFormatting>
  <conditionalFormatting sqref="H57">
    <cfRule type="cellIs" dxfId="1547" priority="2418" operator="equal">
      <formula>1</formula>
    </cfRule>
  </conditionalFormatting>
  <conditionalFormatting sqref="H38">
    <cfRule type="cellIs" dxfId="1546" priority="2419" operator="equal">
      <formula>1</formula>
    </cfRule>
  </conditionalFormatting>
  <conditionalFormatting sqref="H23">
    <cfRule type="cellIs" dxfId="1545" priority="2420" operator="equal">
      <formula>1</formula>
    </cfRule>
  </conditionalFormatting>
  <conditionalFormatting sqref="H9">
    <cfRule type="cellIs" dxfId="1544" priority="2408" operator="equal">
      <formula>1</formula>
    </cfRule>
  </conditionalFormatting>
  <conditionalFormatting sqref="H15:H16">
    <cfRule type="cellIs" dxfId="1543" priority="2407" operator="equal">
      <formula>1</formula>
    </cfRule>
  </conditionalFormatting>
  <conditionalFormatting sqref="H26 H20">
    <cfRule type="cellIs" dxfId="1542" priority="2404" operator="equal">
      <formula>1</formula>
    </cfRule>
  </conditionalFormatting>
  <conditionalFormatting sqref="H43">
    <cfRule type="cellIs" dxfId="1541" priority="2405" operator="equal">
      <formula>1</formula>
    </cfRule>
  </conditionalFormatting>
  <conditionalFormatting sqref="H26">
    <cfRule type="cellIs" dxfId="1540" priority="2406" operator="equal">
      <formula>1</formula>
    </cfRule>
  </conditionalFormatting>
  <conditionalFormatting sqref="H23">
    <cfRule type="cellIs" dxfId="1539" priority="2403" operator="equal">
      <formula>1</formula>
    </cfRule>
  </conditionalFormatting>
  <conditionalFormatting sqref="H7">
    <cfRule type="cellIs" dxfId="1538" priority="2398" operator="equal">
      <formula>1</formula>
    </cfRule>
  </conditionalFormatting>
  <conditionalFormatting sqref="H55">
    <cfRule type="cellIs" dxfId="1537" priority="2392" operator="equal">
      <formula>1</formula>
    </cfRule>
  </conditionalFormatting>
  <conditionalFormatting sqref="H55">
    <cfRule type="cellIs" dxfId="1536" priority="2393" operator="equal">
      <formula>1</formula>
    </cfRule>
  </conditionalFormatting>
  <conditionalFormatting sqref="H55">
    <cfRule type="cellIs" dxfId="1535" priority="2394" operator="equal">
      <formula>1</formula>
    </cfRule>
  </conditionalFormatting>
  <conditionalFormatting sqref="H20 H26">
    <cfRule type="cellIs" dxfId="1534" priority="2402" operator="equal">
      <formula>1</formula>
    </cfRule>
  </conditionalFormatting>
  <conditionalFormatting sqref="H7 H12:H16 H57 H59 H20 H53 H9:H10">
    <cfRule type="cellIs" dxfId="1533" priority="2397" operator="equal">
      <formula>1</formula>
    </cfRule>
  </conditionalFormatting>
  <conditionalFormatting sqref="H22">
    <cfRule type="cellIs" dxfId="1532" priority="2396" operator="equal">
      <formula>1</formula>
    </cfRule>
  </conditionalFormatting>
  <conditionalFormatting sqref="H58">
    <cfRule type="cellIs" dxfId="1531" priority="2381" operator="equal">
      <formula>1</formula>
    </cfRule>
  </conditionalFormatting>
  <conditionalFormatting sqref="H58">
    <cfRule type="cellIs" dxfId="1530" priority="2382" operator="equal">
      <formula>1</formula>
    </cfRule>
  </conditionalFormatting>
  <conditionalFormatting sqref="H19">
    <cfRule type="cellIs" dxfId="1529" priority="2395" operator="equal">
      <formula>1</formula>
    </cfRule>
  </conditionalFormatting>
  <conditionalFormatting sqref="V37:V38 V43:V48">
    <cfRule type="cellIs" dxfId="1528" priority="924" operator="equal">
      <formula>1</formula>
    </cfRule>
  </conditionalFormatting>
  <conditionalFormatting sqref="H42">
    <cfRule type="cellIs" dxfId="1527" priority="2388" operator="equal">
      <formula>1</formula>
    </cfRule>
  </conditionalFormatting>
  <conditionalFormatting sqref="H42">
    <cfRule type="cellIs" dxfId="1526" priority="2389" operator="equal">
      <formula>1</formula>
    </cfRule>
  </conditionalFormatting>
  <conditionalFormatting sqref="H56">
    <cfRule type="cellIs" dxfId="1525" priority="2383" operator="equal">
      <formula>1</formula>
    </cfRule>
  </conditionalFormatting>
  <conditionalFormatting sqref="H56">
    <cfRule type="cellIs" dxfId="1524" priority="2384" operator="equal">
      <formula>1</formula>
    </cfRule>
  </conditionalFormatting>
  <conditionalFormatting sqref="H56">
    <cfRule type="cellIs" dxfId="1523" priority="2385" operator="equal">
      <formula>1</formula>
    </cfRule>
  </conditionalFormatting>
  <conditionalFormatting sqref="H56">
    <cfRule type="cellIs" dxfId="1522" priority="2386" operator="equal">
      <formula>1</formula>
    </cfRule>
  </conditionalFormatting>
  <conditionalFormatting sqref="H56">
    <cfRule type="cellIs" dxfId="1521" priority="2387" operator="equal">
      <formula>1</formula>
    </cfRule>
  </conditionalFormatting>
  <conditionalFormatting sqref="H28:H30">
    <cfRule type="cellIs" dxfId="1520" priority="2380" operator="equal">
      <formula>1</formula>
    </cfRule>
  </conditionalFormatting>
  <conditionalFormatting sqref="H52">
    <cfRule type="cellIs" dxfId="1519" priority="2379" operator="equal">
      <formula>1</formula>
    </cfRule>
  </conditionalFormatting>
  <conditionalFormatting sqref="H52">
    <cfRule type="cellIs" dxfId="1518" priority="2378" operator="equal">
      <formula>1</formula>
    </cfRule>
  </conditionalFormatting>
  <conditionalFormatting sqref="H36">
    <cfRule type="cellIs" dxfId="1517" priority="2377" operator="equal">
      <formula>1</formula>
    </cfRule>
  </conditionalFormatting>
  <conditionalFormatting sqref="H36">
    <cfRule type="cellIs" dxfId="1516" priority="2376" operator="equal">
      <formula>1</formula>
    </cfRule>
  </conditionalFormatting>
  <conditionalFormatting sqref="H54">
    <cfRule type="cellIs" dxfId="1515" priority="2371" operator="equal">
      <formula>1</formula>
    </cfRule>
  </conditionalFormatting>
  <conditionalFormatting sqref="H54">
    <cfRule type="cellIs" dxfId="1514" priority="2372" operator="equal">
      <formula>1</formula>
    </cfRule>
  </conditionalFormatting>
  <conditionalFormatting sqref="H54">
    <cfRule type="cellIs" dxfId="1513" priority="2373" operator="equal">
      <formula>1</formula>
    </cfRule>
  </conditionalFormatting>
  <conditionalFormatting sqref="H54">
    <cfRule type="cellIs" dxfId="1512" priority="2374" operator="equal">
      <formula>1</formula>
    </cfRule>
  </conditionalFormatting>
  <conditionalFormatting sqref="H54">
    <cfRule type="cellIs" dxfId="1511" priority="2375" operator="equal">
      <formula>1</formula>
    </cfRule>
  </conditionalFormatting>
  <conditionalFormatting sqref="H17">
    <cfRule type="cellIs" dxfId="1510" priority="2370" operator="equal">
      <formula>1</formula>
    </cfRule>
  </conditionalFormatting>
  <conditionalFormatting sqref="H17">
    <cfRule type="cellIs" dxfId="1509" priority="2369" operator="equal">
      <formula>1</formula>
    </cfRule>
  </conditionalFormatting>
  <conditionalFormatting sqref="H49">
    <cfRule type="cellIs" dxfId="1508" priority="2368" operator="equal">
      <formula>1</formula>
    </cfRule>
  </conditionalFormatting>
  <conditionalFormatting sqref="H80:H81">
    <cfRule type="cellIs" dxfId="1507" priority="2361" operator="equal">
      <formula>1</formula>
    </cfRule>
  </conditionalFormatting>
  <conditionalFormatting sqref="H75">
    <cfRule type="cellIs" dxfId="1506" priority="2360" operator="equal">
      <formula>1</formula>
    </cfRule>
  </conditionalFormatting>
  <conditionalFormatting sqref="H79">
    <cfRule type="cellIs" dxfId="1505" priority="2357" operator="equal">
      <formula>1</formula>
    </cfRule>
  </conditionalFormatting>
  <conditionalFormatting sqref="H21">
    <cfRule type="cellIs" dxfId="1504" priority="2356" operator="equal">
      <formula>1</formula>
    </cfRule>
  </conditionalFormatting>
  <conditionalFormatting sqref="H68">
    <cfRule type="cellIs" dxfId="1503" priority="2353" operator="equal">
      <formula>1</formula>
    </cfRule>
  </conditionalFormatting>
  <conditionalFormatting sqref="H6">
    <cfRule type="cellIs" dxfId="1502" priority="2352" operator="equal">
      <formula>1</formula>
    </cfRule>
  </conditionalFormatting>
  <conditionalFormatting sqref="H27">
    <cfRule type="cellIs" dxfId="1501" priority="2351" operator="equal">
      <formula>1</formula>
    </cfRule>
  </conditionalFormatting>
  <conditionalFormatting sqref="H69:H72 H65:H67">
    <cfRule type="colorScale" priority="2424">
      <colorScale>
        <cfvo type="num" val="1"/>
        <cfvo type="num" val="10"/>
        <color rgb="FF00B050"/>
        <color rgb="FFFFEF9C"/>
      </colorScale>
    </cfRule>
    <cfRule type="colorScale" priority="2425">
      <colorScale>
        <cfvo type="num" val="2"/>
        <cfvo type="max"/>
        <color rgb="FF0070C0"/>
        <color rgb="FFFFEF9C"/>
      </colorScale>
    </cfRule>
  </conditionalFormatting>
  <conditionalFormatting sqref="H68">
    <cfRule type="colorScale" priority="2430">
      <colorScale>
        <cfvo type="num" val="1"/>
        <cfvo type="num" val="10"/>
        <color rgb="FF00B050"/>
        <color rgb="FFFFEF9C"/>
      </colorScale>
    </cfRule>
    <cfRule type="colorScale" priority="2431">
      <colorScale>
        <cfvo type="num" val="2"/>
        <cfvo type="max"/>
        <color rgb="FF0070C0"/>
        <color rgb="FFFFEF9C"/>
      </colorScale>
    </cfRule>
  </conditionalFormatting>
  <conditionalFormatting sqref="H50">
    <cfRule type="cellIs" dxfId="1500" priority="2350" operator="equal">
      <formula>1</formula>
    </cfRule>
  </conditionalFormatting>
  <conditionalFormatting sqref="H78">
    <cfRule type="cellIs" dxfId="1499" priority="2347" operator="equal">
      <formula>1</formula>
    </cfRule>
  </conditionalFormatting>
  <conditionalFormatting sqref="H78">
    <cfRule type="colorScale" priority="2348">
      <colorScale>
        <cfvo type="num" val="1"/>
        <cfvo type="num" val="10"/>
        <color rgb="FF00B050"/>
        <color rgb="FFFFEF9C"/>
      </colorScale>
    </cfRule>
    <cfRule type="colorScale" priority="2349">
      <colorScale>
        <cfvo type="num" val="2"/>
        <cfvo type="max"/>
        <color rgb="FF0070C0"/>
        <color rgb="FFFFEF9C"/>
      </colorScale>
    </cfRule>
  </conditionalFormatting>
  <conditionalFormatting sqref="H11">
    <cfRule type="cellIs" dxfId="1498" priority="2340" operator="equal">
      <formula>1</formula>
    </cfRule>
  </conditionalFormatting>
  <conditionalFormatting sqref="H11">
    <cfRule type="cellIs" dxfId="1497" priority="2336" operator="equal">
      <formula>1</formula>
    </cfRule>
  </conditionalFormatting>
  <conditionalFormatting sqref="H11">
    <cfRule type="cellIs" dxfId="1496" priority="2337" operator="equal">
      <formula>1</formula>
    </cfRule>
  </conditionalFormatting>
  <conditionalFormatting sqref="H11">
    <cfRule type="cellIs" dxfId="1495" priority="2338" operator="equal">
      <formula>1</formula>
    </cfRule>
  </conditionalFormatting>
  <conditionalFormatting sqref="H11">
    <cfRule type="cellIs" dxfId="1494" priority="2339" operator="equal">
      <formula>1</formula>
    </cfRule>
  </conditionalFormatting>
  <conditionalFormatting sqref="H11">
    <cfRule type="cellIs" dxfId="1493" priority="2335" operator="equal">
      <formula>1</formula>
    </cfRule>
  </conditionalFormatting>
  <conditionalFormatting sqref="H32">
    <cfRule type="cellIs" dxfId="1492" priority="2334" operator="equal">
      <formula>1</formula>
    </cfRule>
  </conditionalFormatting>
  <conditionalFormatting sqref="H60">
    <cfRule type="cellIs" dxfId="1491" priority="2332" operator="equal">
      <formula>1</formula>
    </cfRule>
  </conditionalFormatting>
  <conditionalFormatting sqref="H73:H74">
    <cfRule type="colorScale" priority="2438">
      <colorScale>
        <cfvo type="num" val="1"/>
        <cfvo type="num" val="10"/>
        <color rgb="FF00B050"/>
        <color rgb="FFFFEF9C"/>
      </colorScale>
    </cfRule>
    <cfRule type="colorScale" priority="2439">
      <colorScale>
        <cfvo type="num" val="2"/>
        <cfvo type="max"/>
        <color rgb="FF0070C0"/>
        <color rgb="FFFFEF9C"/>
      </colorScale>
    </cfRule>
  </conditionalFormatting>
  <conditionalFormatting sqref="H18">
    <cfRule type="cellIs" dxfId="1490" priority="2322" operator="equal">
      <formula>1</formula>
    </cfRule>
  </conditionalFormatting>
  <conditionalFormatting sqref="H18">
    <cfRule type="cellIs" dxfId="1489" priority="2321" operator="equal">
      <formula>1</formula>
    </cfRule>
  </conditionalFormatting>
  <conditionalFormatting sqref="H77">
    <cfRule type="cellIs" dxfId="1488" priority="2318" operator="equal">
      <formula>1</formula>
    </cfRule>
  </conditionalFormatting>
  <conditionalFormatting sqref="H77">
    <cfRule type="colorScale" priority="2319">
      <colorScale>
        <cfvo type="num" val="1"/>
        <cfvo type="num" val="10"/>
        <color rgb="FF00B050"/>
        <color rgb="FFFFEF9C"/>
      </colorScale>
    </cfRule>
    <cfRule type="colorScale" priority="2320">
      <colorScale>
        <cfvo type="num" val="2"/>
        <cfvo type="max"/>
        <color rgb="FF0070C0"/>
        <color rgb="FFFFEF9C"/>
      </colorScale>
    </cfRule>
  </conditionalFormatting>
  <conditionalFormatting sqref="H76">
    <cfRule type="cellIs" dxfId="1487" priority="2315" operator="equal">
      <formula>1</formula>
    </cfRule>
  </conditionalFormatting>
  <conditionalFormatting sqref="H76">
    <cfRule type="colorScale" priority="2316">
      <colorScale>
        <cfvo type="num" val="1"/>
        <cfvo type="num" val="10"/>
        <color rgb="FF00B050"/>
        <color rgb="FFFFEF9C"/>
      </colorScale>
    </cfRule>
    <cfRule type="colorScale" priority="2317">
      <colorScale>
        <cfvo type="num" val="2"/>
        <cfvo type="max"/>
        <color rgb="FF0070C0"/>
        <color rgb="FFFFEF9C"/>
      </colorScale>
    </cfRule>
  </conditionalFormatting>
  <conditionalFormatting sqref="H31">
    <cfRule type="cellIs" dxfId="1486" priority="2314" operator="equal">
      <formula>1</formula>
    </cfRule>
  </conditionalFormatting>
  <conditionalFormatting sqref="H31">
    <cfRule type="cellIs" dxfId="1485" priority="2313" operator="equal">
      <formula>1</formula>
    </cfRule>
  </conditionalFormatting>
  <conditionalFormatting sqref="H33">
    <cfRule type="cellIs" dxfId="1484" priority="2312" operator="equal">
      <formula>1</formula>
    </cfRule>
  </conditionalFormatting>
  <conditionalFormatting sqref="H33">
    <cfRule type="cellIs" dxfId="1483" priority="2311" operator="equal">
      <formula>1</formula>
    </cfRule>
  </conditionalFormatting>
  <conditionalFormatting sqref="H82">
    <cfRule type="cellIs" dxfId="1482" priority="2310" operator="equal">
      <formula>1</formula>
    </cfRule>
  </conditionalFormatting>
  <conditionalFormatting sqref="H84:H86">
    <cfRule type="cellIs" dxfId="1481" priority="2307" operator="equal">
      <formula>1</formula>
    </cfRule>
  </conditionalFormatting>
  <conditionalFormatting sqref="H83">
    <cfRule type="cellIs" dxfId="1480" priority="2306" operator="equal">
      <formula>1</formula>
    </cfRule>
  </conditionalFormatting>
  <conditionalFormatting sqref="H83">
    <cfRule type="cellIs" dxfId="1479" priority="2305" operator="equal">
      <formula>1</formula>
    </cfRule>
  </conditionalFormatting>
  <conditionalFormatting sqref="H84:H86 H82">
    <cfRule type="colorScale" priority="2308">
      <colorScale>
        <cfvo type="num" val="1"/>
        <cfvo type="num" val="10"/>
        <color rgb="FF00B050"/>
        <color rgb="FFFFEF9C"/>
      </colorScale>
    </cfRule>
    <cfRule type="colorScale" priority="2309">
      <colorScale>
        <cfvo type="num" val="2"/>
        <cfvo type="max"/>
        <color rgb="FF0070C0"/>
        <color rgb="FFFFEF9C"/>
      </colorScale>
    </cfRule>
  </conditionalFormatting>
  <conditionalFormatting sqref="O84:O86">
    <cfRule type="cellIs" dxfId="1478" priority="1551" operator="equal">
      <formula>1</formula>
    </cfRule>
  </conditionalFormatting>
  <conditionalFormatting sqref="H5">
    <cfRule type="cellIs" dxfId="1477" priority="2302" operator="equal">
      <formula>1</formula>
    </cfRule>
  </conditionalFormatting>
  <conditionalFormatting sqref="O83">
    <cfRule type="cellIs" dxfId="1476" priority="1550" operator="equal">
      <formula>1</formula>
    </cfRule>
  </conditionalFormatting>
  <conditionalFormatting sqref="H5">
    <cfRule type="cellIs" dxfId="1475" priority="2301" operator="equal">
      <formula>1</formula>
    </cfRule>
  </conditionalFormatting>
  <conditionalFormatting sqref="H39">
    <cfRule type="cellIs" dxfId="1474" priority="2300" operator="equal">
      <formula>1</formula>
    </cfRule>
  </conditionalFormatting>
  <conditionalFormatting sqref="H39">
    <cfRule type="cellIs" dxfId="1473" priority="2299" operator="equal">
      <formula>1</formula>
    </cfRule>
  </conditionalFormatting>
  <conditionalFormatting sqref="I65:J74 I25:J25 I40:J48">
    <cfRule type="cellIs" dxfId="1472" priority="2289" operator="equal">
      <formula>1</formula>
    </cfRule>
  </conditionalFormatting>
  <conditionalFormatting sqref="I51:J51">
    <cfRule type="cellIs" dxfId="1471" priority="2288" operator="equal">
      <formula>1</formula>
    </cfRule>
  </conditionalFormatting>
  <conditionalFormatting sqref="I35:J38">
    <cfRule type="cellIs" dxfId="1470" priority="2287" operator="equal">
      <formula>1</formula>
    </cfRule>
  </conditionalFormatting>
  <conditionalFormatting sqref="I55:J57 I31:J33">
    <cfRule type="cellIs" dxfId="1469" priority="2286" operator="equal">
      <formula>1</formula>
    </cfRule>
  </conditionalFormatting>
  <conditionalFormatting sqref="I59:J59">
    <cfRule type="cellIs" dxfId="1468" priority="2285" operator="equal">
      <formula>1</formula>
    </cfRule>
  </conditionalFormatting>
  <conditionalFormatting sqref="I5:J23">
    <cfRule type="cellIs" dxfId="1467" priority="2284" operator="equal">
      <formula>1</formula>
    </cfRule>
  </conditionalFormatting>
  <conditionalFormatting sqref="I75:J78 I80:J81">
    <cfRule type="cellIs" dxfId="1466" priority="2283" operator="equal">
      <formula>1</formula>
    </cfRule>
  </conditionalFormatting>
  <conditionalFormatting sqref="I13:J13">
    <cfRule type="cellIs" dxfId="1465" priority="2281" operator="equal">
      <formula>1</formula>
    </cfRule>
  </conditionalFormatting>
  <conditionalFormatting sqref="I26:J26">
    <cfRule type="cellIs" dxfId="1464" priority="2279" operator="equal">
      <formula>1</formula>
    </cfRule>
  </conditionalFormatting>
  <conditionalFormatting sqref="I34:J34">
    <cfRule type="cellIs" dxfId="1463" priority="2280" operator="equal">
      <formula>1</formula>
    </cfRule>
  </conditionalFormatting>
  <conditionalFormatting sqref="I58:J58">
    <cfRule type="cellIs" dxfId="1462" priority="2278" operator="equal">
      <formula>1</formula>
    </cfRule>
  </conditionalFormatting>
  <conditionalFormatting sqref="I29:J30">
    <cfRule type="cellIs" dxfId="1461" priority="2277" operator="equal">
      <formula>1</formula>
    </cfRule>
  </conditionalFormatting>
  <conditionalFormatting sqref="I52:J52">
    <cfRule type="cellIs" dxfId="1460" priority="2276" operator="equal">
      <formula>1</formula>
    </cfRule>
  </conditionalFormatting>
  <conditionalFormatting sqref="I54:J54">
    <cfRule type="cellIs" dxfId="1459" priority="2275" operator="equal">
      <formula>1</formula>
    </cfRule>
  </conditionalFormatting>
  <conditionalFormatting sqref="I24:J24">
    <cfRule type="cellIs" dxfId="1458" priority="2274" operator="equal">
      <formula>1</formula>
    </cfRule>
  </conditionalFormatting>
  <conditionalFormatting sqref="I27:J28">
    <cfRule type="cellIs" dxfId="1457" priority="2273" operator="equal">
      <formula>1</formula>
    </cfRule>
  </conditionalFormatting>
  <conditionalFormatting sqref="I49:J49">
    <cfRule type="cellIs" dxfId="1456" priority="2272" operator="equal">
      <formula>1</formula>
    </cfRule>
  </conditionalFormatting>
  <conditionalFormatting sqref="I79:J79">
    <cfRule type="cellIs" dxfId="1455" priority="2271" operator="equal">
      <formula>1</formula>
    </cfRule>
  </conditionalFormatting>
  <conditionalFormatting sqref="I50:J50">
    <cfRule type="cellIs" dxfId="1454" priority="2269" operator="equal">
      <formula>1</formula>
    </cfRule>
  </conditionalFormatting>
  <conditionalFormatting sqref="I53:J53">
    <cfRule type="cellIs" dxfId="1453" priority="2259" operator="equal">
      <formula>1</formula>
    </cfRule>
  </conditionalFormatting>
  <conditionalFormatting sqref="I73:J78">
    <cfRule type="colorScale" priority="2292">
      <colorScale>
        <cfvo type="num" val="1"/>
        <cfvo type="num" val="10"/>
        <color rgb="FF00B050"/>
        <color rgb="FFFFEF9C"/>
      </colorScale>
    </cfRule>
    <cfRule type="colorScale" priority="2293">
      <colorScale>
        <cfvo type="num" val="2"/>
        <cfvo type="max"/>
        <color rgb="FF0070C0"/>
        <color rgb="FFFFEF9C"/>
      </colorScale>
    </cfRule>
  </conditionalFormatting>
  <conditionalFormatting sqref="I82:J83">
    <cfRule type="cellIs" dxfId="1452" priority="2244" operator="equal">
      <formula>1</formula>
    </cfRule>
  </conditionalFormatting>
  <conditionalFormatting sqref="I84:J86">
    <cfRule type="cellIs" dxfId="1451" priority="2243" operator="equal">
      <formula>1</formula>
    </cfRule>
  </conditionalFormatting>
  <conditionalFormatting sqref="I82:J86">
    <cfRule type="colorScale" priority="2245">
      <colorScale>
        <cfvo type="num" val="1"/>
        <cfvo type="num" val="10"/>
        <color rgb="FF00B050"/>
        <color rgb="FFFFEF9C"/>
      </colorScale>
    </cfRule>
    <cfRule type="colorScale" priority="2246">
      <colorScale>
        <cfvo type="num" val="2"/>
        <cfvo type="max"/>
        <color rgb="FF0070C0"/>
        <color rgb="FFFFEF9C"/>
      </colorScale>
    </cfRule>
  </conditionalFormatting>
  <conditionalFormatting sqref="I39:J39">
    <cfRule type="cellIs" dxfId="1450" priority="2242" operator="equal">
      <formula>1</formula>
    </cfRule>
  </conditionalFormatting>
  <conditionalFormatting sqref="K69:K74 K25:M26 K40:M41">
    <cfRule type="cellIs" dxfId="1449" priority="2237" operator="equal">
      <formula>1</formula>
    </cfRule>
  </conditionalFormatting>
  <conditionalFormatting sqref="K51">
    <cfRule type="cellIs" dxfId="1448" priority="2236" operator="equal">
      <formula>1</formula>
    </cfRule>
  </conditionalFormatting>
  <conditionalFormatting sqref="K37:K38 K43:K48">
    <cfRule type="cellIs" dxfId="1447" priority="2234" operator="equal">
      <formula>1</formula>
    </cfRule>
  </conditionalFormatting>
  <conditionalFormatting sqref="K65:K67">
    <cfRule type="cellIs" dxfId="1446" priority="2225" operator="equal">
      <formula>1</formula>
    </cfRule>
  </conditionalFormatting>
  <conditionalFormatting sqref="K34:K35">
    <cfRule type="cellIs" dxfId="1445" priority="2224" operator="equal">
      <formula>1</formula>
    </cfRule>
  </conditionalFormatting>
  <conditionalFormatting sqref="K10">
    <cfRule type="cellIs" dxfId="1444" priority="2211" operator="equal">
      <formula>1</formula>
    </cfRule>
  </conditionalFormatting>
  <conditionalFormatting sqref="K40">
    <cfRule type="cellIs" dxfId="1443" priority="2212" operator="equal">
      <formula>1</formula>
    </cfRule>
  </conditionalFormatting>
  <conditionalFormatting sqref="K44">
    <cfRule type="cellIs" dxfId="1442" priority="2213" operator="equal">
      <formula>1</formula>
    </cfRule>
  </conditionalFormatting>
  <conditionalFormatting sqref="K59">
    <cfRule type="cellIs" dxfId="1441" priority="2214" operator="equal">
      <formula>1</formula>
    </cfRule>
  </conditionalFormatting>
  <conditionalFormatting sqref="K12">
    <cfRule type="cellIs" dxfId="1440" priority="2215" operator="equal">
      <formula>1</formula>
    </cfRule>
  </conditionalFormatting>
  <conditionalFormatting sqref="K25">
    <cfRule type="cellIs" dxfId="1439" priority="2216" operator="equal">
      <formula>1</formula>
    </cfRule>
  </conditionalFormatting>
  <conditionalFormatting sqref="K13">
    <cfRule type="cellIs" dxfId="1438" priority="2217" operator="equal">
      <formula>1</formula>
    </cfRule>
  </conditionalFormatting>
  <conditionalFormatting sqref="K14">
    <cfRule type="cellIs" dxfId="1437" priority="2218" operator="equal">
      <formula>1</formula>
    </cfRule>
  </conditionalFormatting>
  <conditionalFormatting sqref="K57">
    <cfRule type="cellIs" dxfId="1436" priority="2219" operator="equal">
      <formula>1</formula>
    </cfRule>
  </conditionalFormatting>
  <conditionalFormatting sqref="K57">
    <cfRule type="cellIs" dxfId="1435" priority="2220" operator="equal">
      <formula>1</formula>
    </cfRule>
  </conditionalFormatting>
  <conditionalFormatting sqref="K38">
    <cfRule type="cellIs" dxfId="1434" priority="2221" operator="equal">
      <formula>1</formula>
    </cfRule>
  </conditionalFormatting>
  <conditionalFormatting sqref="K23">
    <cfRule type="cellIs" dxfId="1433" priority="2222" operator="equal">
      <formula>1</formula>
    </cfRule>
  </conditionalFormatting>
  <conditionalFormatting sqref="K8">
    <cfRule type="cellIs" dxfId="1432" priority="2223" operator="equal">
      <formula>1</formula>
    </cfRule>
  </conditionalFormatting>
  <conditionalFormatting sqref="K9">
    <cfRule type="cellIs" dxfId="1431" priority="2210" operator="equal">
      <formula>1</formula>
    </cfRule>
  </conditionalFormatting>
  <conditionalFormatting sqref="K15:K16">
    <cfRule type="cellIs" dxfId="1430" priority="2209" operator="equal">
      <formula>1</formula>
    </cfRule>
  </conditionalFormatting>
  <conditionalFormatting sqref="K26 K20">
    <cfRule type="cellIs" dxfId="1429" priority="2206" operator="equal">
      <formula>1</formula>
    </cfRule>
  </conditionalFormatting>
  <conditionalFormatting sqref="K43">
    <cfRule type="cellIs" dxfId="1428" priority="2207" operator="equal">
      <formula>1</formula>
    </cfRule>
  </conditionalFormatting>
  <conditionalFormatting sqref="K26">
    <cfRule type="cellIs" dxfId="1427" priority="2208" operator="equal">
      <formula>1</formula>
    </cfRule>
  </conditionalFormatting>
  <conditionalFormatting sqref="K23">
    <cfRule type="cellIs" dxfId="1426" priority="2205" operator="equal">
      <formula>1</formula>
    </cfRule>
  </conditionalFormatting>
  <conditionalFormatting sqref="K7:K8">
    <cfRule type="cellIs" dxfId="1425" priority="2200" operator="equal">
      <formula>1</formula>
    </cfRule>
  </conditionalFormatting>
  <conditionalFormatting sqref="K8">
    <cfRule type="cellIs" dxfId="1424" priority="2201" operator="equal">
      <formula>1</formula>
    </cfRule>
  </conditionalFormatting>
  <conditionalFormatting sqref="K8">
    <cfRule type="cellIs" dxfId="1423" priority="2202" operator="equal">
      <formula>1</formula>
    </cfRule>
  </conditionalFormatting>
  <conditionalFormatting sqref="K8">
    <cfRule type="cellIs" dxfId="1422" priority="2203" operator="equal">
      <formula>1</formula>
    </cfRule>
  </conditionalFormatting>
  <conditionalFormatting sqref="K20 K26">
    <cfRule type="cellIs" dxfId="1421" priority="2204" operator="equal">
      <formula>1</formula>
    </cfRule>
  </conditionalFormatting>
  <conditionalFormatting sqref="K7:K10 K12:K16 K57 K59 K20 K53">
    <cfRule type="cellIs" dxfId="1420" priority="2199" operator="equal">
      <formula>1</formula>
    </cfRule>
  </conditionalFormatting>
  <conditionalFormatting sqref="K22">
    <cfRule type="cellIs" dxfId="1419" priority="2198" operator="equal">
      <formula>1</formula>
    </cfRule>
  </conditionalFormatting>
  <conditionalFormatting sqref="K58">
    <cfRule type="cellIs" dxfId="1418" priority="2183" operator="equal">
      <formula>1</formula>
    </cfRule>
  </conditionalFormatting>
  <conditionalFormatting sqref="K58">
    <cfRule type="cellIs" dxfId="1417" priority="2184" operator="equal">
      <formula>1</formula>
    </cfRule>
  </conditionalFormatting>
  <conditionalFormatting sqref="K19">
    <cfRule type="cellIs" dxfId="1416" priority="2197" operator="equal">
      <formula>1</formula>
    </cfRule>
  </conditionalFormatting>
  <conditionalFormatting sqref="K55">
    <cfRule type="cellIs" dxfId="1415" priority="2192" operator="equal">
      <formula>1</formula>
    </cfRule>
  </conditionalFormatting>
  <conditionalFormatting sqref="K55">
    <cfRule type="cellIs" dxfId="1414" priority="2193" operator="equal">
      <formula>1</formula>
    </cfRule>
  </conditionalFormatting>
  <conditionalFormatting sqref="K55">
    <cfRule type="cellIs" dxfId="1413" priority="2194" operator="equal">
      <formula>1</formula>
    </cfRule>
  </conditionalFormatting>
  <conditionalFormatting sqref="K55">
    <cfRule type="cellIs" dxfId="1412" priority="2195" operator="equal">
      <formula>1</formula>
    </cfRule>
  </conditionalFormatting>
  <conditionalFormatting sqref="K55">
    <cfRule type="cellIs" dxfId="1411" priority="2196" operator="equal">
      <formula>1</formula>
    </cfRule>
  </conditionalFormatting>
  <conditionalFormatting sqref="K42">
    <cfRule type="cellIs" dxfId="1410" priority="2190" operator="equal">
      <formula>1</formula>
    </cfRule>
  </conditionalFormatting>
  <conditionalFormatting sqref="K42">
    <cfRule type="cellIs" dxfId="1409" priority="2191" operator="equal">
      <formula>1</formula>
    </cfRule>
  </conditionalFormatting>
  <conditionalFormatting sqref="K56">
    <cfRule type="cellIs" dxfId="1408" priority="2185" operator="equal">
      <formula>1</formula>
    </cfRule>
  </conditionalFormatting>
  <conditionalFormatting sqref="K56">
    <cfRule type="cellIs" dxfId="1407" priority="2186" operator="equal">
      <formula>1</formula>
    </cfRule>
  </conditionalFormatting>
  <conditionalFormatting sqref="K56">
    <cfRule type="cellIs" dxfId="1406" priority="2187" operator="equal">
      <formula>1</formula>
    </cfRule>
  </conditionalFormatting>
  <conditionalFormatting sqref="K56">
    <cfRule type="cellIs" dxfId="1405" priority="2188" operator="equal">
      <formula>1</formula>
    </cfRule>
  </conditionalFormatting>
  <conditionalFormatting sqref="K56">
    <cfRule type="cellIs" dxfId="1404" priority="2189" operator="equal">
      <formula>1</formula>
    </cfRule>
  </conditionalFormatting>
  <conditionalFormatting sqref="K28:K30">
    <cfRule type="cellIs" dxfId="1403" priority="2182" operator="equal">
      <formula>1</formula>
    </cfRule>
  </conditionalFormatting>
  <conditionalFormatting sqref="K52">
    <cfRule type="cellIs" dxfId="1402" priority="2181" operator="equal">
      <formula>1</formula>
    </cfRule>
  </conditionalFormatting>
  <conditionalFormatting sqref="K52">
    <cfRule type="cellIs" dxfId="1401" priority="2180" operator="equal">
      <formula>1</formula>
    </cfRule>
  </conditionalFormatting>
  <conditionalFormatting sqref="K36">
    <cfRule type="cellIs" dxfId="1400" priority="2179" operator="equal">
      <formula>1</formula>
    </cfRule>
  </conditionalFormatting>
  <conditionalFormatting sqref="K36">
    <cfRule type="cellIs" dxfId="1399" priority="2178" operator="equal">
      <formula>1</formula>
    </cfRule>
  </conditionalFormatting>
  <conditionalFormatting sqref="K54">
    <cfRule type="cellIs" dxfId="1398" priority="2173" operator="equal">
      <formula>1</formula>
    </cfRule>
  </conditionalFormatting>
  <conditionalFormatting sqref="K54">
    <cfRule type="cellIs" dxfId="1397" priority="2174" operator="equal">
      <formula>1</formula>
    </cfRule>
  </conditionalFormatting>
  <conditionalFormatting sqref="K54">
    <cfRule type="cellIs" dxfId="1396" priority="2175" operator="equal">
      <formula>1</formula>
    </cfRule>
  </conditionalFormatting>
  <conditionalFormatting sqref="K54">
    <cfRule type="cellIs" dxfId="1395" priority="2176" operator="equal">
      <formula>1</formula>
    </cfRule>
  </conditionalFormatting>
  <conditionalFormatting sqref="K54">
    <cfRule type="cellIs" dxfId="1394" priority="2177" operator="equal">
      <formula>1</formula>
    </cfRule>
  </conditionalFormatting>
  <conditionalFormatting sqref="K17">
    <cfRule type="cellIs" dxfId="1393" priority="2172" operator="equal">
      <formula>1</formula>
    </cfRule>
  </conditionalFormatting>
  <conditionalFormatting sqref="K17">
    <cfRule type="cellIs" dxfId="1392" priority="2171" operator="equal">
      <formula>1</formula>
    </cfRule>
  </conditionalFormatting>
  <conditionalFormatting sqref="K49">
    <cfRule type="cellIs" dxfId="1391" priority="2170" operator="equal">
      <formula>1</formula>
    </cfRule>
  </conditionalFormatting>
  <conditionalFormatting sqref="K80:K81">
    <cfRule type="cellIs" dxfId="1390" priority="2163" operator="equal">
      <formula>1</formula>
    </cfRule>
  </conditionalFormatting>
  <conditionalFormatting sqref="K75">
    <cfRule type="cellIs" dxfId="1389" priority="2162" operator="equal">
      <formula>1</formula>
    </cfRule>
  </conditionalFormatting>
  <conditionalFormatting sqref="K79">
    <cfRule type="cellIs" dxfId="1388" priority="2159" operator="equal">
      <formula>1</formula>
    </cfRule>
  </conditionalFormatting>
  <conditionalFormatting sqref="K21">
    <cfRule type="cellIs" dxfId="1387" priority="2158" operator="equal">
      <formula>1</formula>
    </cfRule>
  </conditionalFormatting>
  <conditionalFormatting sqref="K68">
    <cfRule type="cellIs" dxfId="1386" priority="2155" operator="equal">
      <formula>1</formula>
    </cfRule>
  </conditionalFormatting>
  <conditionalFormatting sqref="K6">
    <cfRule type="cellIs" dxfId="1385" priority="2154" operator="equal">
      <formula>1</formula>
    </cfRule>
  </conditionalFormatting>
  <conditionalFormatting sqref="K27">
    <cfRule type="cellIs" dxfId="1384" priority="2153" operator="equal">
      <formula>1</formula>
    </cfRule>
  </conditionalFormatting>
  <conditionalFormatting sqref="K69:K72 K65:K67">
    <cfRule type="colorScale" priority="2226">
      <colorScale>
        <cfvo type="num" val="1"/>
        <cfvo type="num" val="10"/>
        <color rgb="FF00B050"/>
        <color rgb="FFFFEF9C"/>
      </colorScale>
    </cfRule>
    <cfRule type="colorScale" priority="2227">
      <colorScale>
        <cfvo type="num" val="2"/>
        <cfvo type="max"/>
        <color rgb="FF0070C0"/>
        <color rgb="FFFFEF9C"/>
      </colorScale>
    </cfRule>
  </conditionalFormatting>
  <conditionalFormatting sqref="K68">
    <cfRule type="colorScale" priority="2232">
      <colorScale>
        <cfvo type="num" val="1"/>
        <cfvo type="num" val="10"/>
        <color rgb="FF00B050"/>
        <color rgb="FFFFEF9C"/>
      </colorScale>
    </cfRule>
    <cfRule type="colorScale" priority="2233">
      <colorScale>
        <cfvo type="num" val="2"/>
        <cfvo type="max"/>
        <color rgb="FF0070C0"/>
        <color rgb="FFFFEF9C"/>
      </colorScale>
    </cfRule>
  </conditionalFormatting>
  <conditionalFormatting sqref="K50">
    <cfRule type="cellIs" dxfId="1383" priority="2152" operator="equal">
      <formula>1</formula>
    </cfRule>
  </conditionalFormatting>
  <conditionalFormatting sqref="K78">
    <cfRule type="cellIs" dxfId="1382" priority="2149" operator="equal">
      <formula>1</formula>
    </cfRule>
  </conditionalFormatting>
  <conditionalFormatting sqref="K78">
    <cfRule type="colorScale" priority="2150">
      <colorScale>
        <cfvo type="num" val="1"/>
        <cfvo type="num" val="10"/>
        <color rgb="FF00B050"/>
        <color rgb="FFFFEF9C"/>
      </colorScale>
    </cfRule>
    <cfRule type="colorScale" priority="2151">
      <colorScale>
        <cfvo type="num" val="2"/>
        <cfvo type="max"/>
        <color rgb="FF0070C0"/>
        <color rgb="FFFFEF9C"/>
      </colorScale>
    </cfRule>
  </conditionalFormatting>
  <conditionalFormatting sqref="K11">
    <cfRule type="cellIs" dxfId="1381" priority="2142" operator="equal">
      <formula>1</formula>
    </cfRule>
  </conditionalFormatting>
  <conditionalFormatting sqref="K11">
    <cfRule type="cellIs" dxfId="1380" priority="2138" operator="equal">
      <formula>1</formula>
    </cfRule>
  </conditionalFormatting>
  <conditionalFormatting sqref="K11">
    <cfRule type="cellIs" dxfId="1379" priority="2139" operator="equal">
      <formula>1</formula>
    </cfRule>
  </conditionalFormatting>
  <conditionalFormatting sqref="K11">
    <cfRule type="cellIs" dxfId="1378" priority="2140" operator="equal">
      <formula>1</formula>
    </cfRule>
  </conditionalFormatting>
  <conditionalFormatting sqref="K11">
    <cfRule type="cellIs" dxfId="1377" priority="2141" operator="equal">
      <formula>1</formula>
    </cfRule>
  </conditionalFormatting>
  <conditionalFormatting sqref="K11">
    <cfRule type="cellIs" dxfId="1376" priority="2137" operator="equal">
      <formula>1</formula>
    </cfRule>
  </conditionalFormatting>
  <conditionalFormatting sqref="K32">
    <cfRule type="cellIs" dxfId="1375" priority="2136" operator="equal">
      <formula>1</formula>
    </cfRule>
  </conditionalFormatting>
  <conditionalFormatting sqref="K60">
    <cfRule type="cellIs" dxfId="1374" priority="2134" operator="equal">
      <formula>1</formula>
    </cfRule>
  </conditionalFormatting>
  <conditionalFormatting sqref="K73:K74">
    <cfRule type="colorScale" priority="2240">
      <colorScale>
        <cfvo type="num" val="1"/>
        <cfvo type="num" val="10"/>
        <color rgb="FF00B050"/>
        <color rgb="FFFFEF9C"/>
      </colorScale>
    </cfRule>
    <cfRule type="colorScale" priority="2241">
      <colorScale>
        <cfvo type="num" val="2"/>
        <cfvo type="max"/>
        <color rgb="FF0070C0"/>
        <color rgb="FFFFEF9C"/>
      </colorScale>
    </cfRule>
  </conditionalFormatting>
  <conditionalFormatting sqref="K18">
    <cfRule type="cellIs" dxfId="1373" priority="2124" operator="equal">
      <formula>1</formula>
    </cfRule>
  </conditionalFormatting>
  <conditionalFormatting sqref="K18">
    <cfRule type="cellIs" dxfId="1372" priority="2123" operator="equal">
      <formula>1</formula>
    </cfRule>
  </conditionalFormatting>
  <conditionalFormatting sqref="K77">
    <cfRule type="cellIs" dxfId="1371" priority="2120" operator="equal">
      <formula>1</formula>
    </cfRule>
  </conditionalFormatting>
  <conditionalFormatting sqref="K77">
    <cfRule type="colorScale" priority="2121">
      <colorScale>
        <cfvo type="num" val="1"/>
        <cfvo type="num" val="10"/>
        <color rgb="FF00B050"/>
        <color rgb="FFFFEF9C"/>
      </colorScale>
    </cfRule>
    <cfRule type="colorScale" priority="2122">
      <colorScale>
        <cfvo type="num" val="2"/>
        <cfvo type="max"/>
        <color rgb="FF0070C0"/>
        <color rgb="FFFFEF9C"/>
      </colorScale>
    </cfRule>
  </conditionalFormatting>
  <conditionalFormatting sqref="K76">
    <cfRule type="cellIs" dxfId="1370" priority="2117" operator="equal">
      <formula>1</formula>
    </cfRule>
  </conditionalFormatting>
  <conditionalFormatting sqref="K76">
    <cfRule type="colorScale" priority="2118">
      <colorScale>
        <cfvo type="num" val="1"/>
        <cfvo type="num" val="10"/>
        <color rgb="FF00B050"/>
        <color rgb="FFFFEF9C"/>
      </colorScale>
    </cfRule>
    <cfRule type="colorScale" priority="2119">
      <colorScale>
        <cfvo type="num" val="2"/>
        <cfvo type="max"/>
        <color rgb="FF0070C0"/>
        <color rgb="FFFFEF9C"/>
      </colorScale>
    </cfRule>
  </conditionalFormatting>
  <conditionalFormatting sqref="K31">
    <cfRule type="cellIs" dxfId="1369" priority="2116" operator="equal">
      <formula>1</formula>
    </cfRule>
  </conditionalFormatting>
  <conditionalFormatting sqref="K31">
    <cfRule type="cellIs" dxfId="1368" priority="2115" operator="equal">
      <formula>1</formula>
    </cfRule>
  </conditionalFormatting>
  <conditionalFormatting sqref="K33">
    <cfRule type="cellIs" dxfId="1367" priority="2114" operator="equal">
      <formula>1</formula>
    </cfRule>
  </conditionalFormatting>
  <conditionalFormatting sqref="K33">
    <cfRule type="cellIs" dxfId="1366" priority="2113" operator="equal">
      <formula>1</formula>
    </cfRule>
  </conditionalFormatting>
  <conditionalFormatting sqref="K82">
    <cfRule type="cellIs" dxfId="1365" priority="2112" operator="equal">
      <formula>1</formula>
    </cfRule>
  </conditionalFormatting>
  <conditionalFormatting sqref="K84:K86">
    <cfRule type="cellIs" dxfId="1364" priority="2109" operator="equal">
      <formula>1</formula>
    </cfRule>
  </conditionalFormatting>
  <conditionalFormatting sqref="K83">
    <cfRule type="cellIs" dxfId="1363" priority="2108" operator="equal">
      <formula>1</formula>
    </cfRule>
  </conditionalFormatting>
  <conditionalFormatting sqref="K83">
    <cfRule type="cellIs" dxfId="1362" priority="2107" operator="equal">
      <formula>1</formula>
    </cfRule>
  </conditionalFormatting>
  <conditionalFormatting sqref="K84:K86 K82">
    <cfRule type="colorScale" priority="2110">
      <colorScale>
        <cfvo type="num" val="1"/>
        <cfvo type="num" val="10"/>
        <color rgb="FF00B050"/>
        <color rgb="FFFFEF9C"/>
      </colorScale>
    </cfRule>
    <cfRule type="colorScale" priority="2111">
      <colorScale>
        <cfvo type="num" val="2"/>
        <cfvo type="max"/>
        <color rgb="FF0070C0"/>
        <color rgb="FFFFEF9C"/>
      </colorScale>
    </cfRule>
  </conditionalFormatting>
  <conditionalFormatting sqref="L42">
    <cfRule type="cellIs" dxfId="1361" priority="2054" operator="equal">
      <formula>1</formula>
    </cfRule>
  </conditionalFormatting>
  <conditionalFormatting sqref="K5">
    <cfRule type="cellIs" dxfId="1360" priority="2106" operator="equal">
      <formula>1</formula>
    </cfRule>
  </conditionalFormatting>
  <conditionalFormatting sqref="L42">
    <cfRule type="cellIs" dxfId="1359" priority="2053" operator="equal">
      <formula>1</formula>
    </cfRule>
  </conditionalFormatting>
  <conditionalFormatting sqref="K5">
    <cfRule type="cellIs" dxfId="1358" priority="2105" operator="equal">
      <formula>1</formula>
    </cfRule>
  </conditionalFormatting>
  <conditionalFormatting sqref="L69:L74">
    <cfRule type="cellIs" dxfId="1357" priority="2100" operator="equal">
      <formula>1</formula>
    </cfRule>
  </conditionalFormatting>
  <conditionalFormatting sqref="L51">
    <cfRule type="cellIs" dxfId="1356" priority="2099" operator="equal">
      <formula>1</formula>
    </cfRule>
  </conditionalFormatting>
  <conditionalFormatting sqref="L37:L38 L43:L48">
    <cfRule type="cellIs" dxfId="1355" priority="2097" operator="equal">
      <formula>1</formula>
    </cfRule>
  </conditionalFormatting>
  <conditionalFormatting sqref="L65:L67">
    <cfRule type="cellIs" dxfId="1354" priority="2088" operator="equal">
      <formula>1</formula>
    </cfRule>
  </conditionalFormatting>
  <conditionalFormatting sqref="L34:L35">
    <cfRule type="cellIs" dxfId="1353" priority="2087" operator="equal">
      <formula>1</formula>
    </cfRule>
  </conditionalFormatting>
  <conditionalFormatting sqref="L10">
    <cfRule type="cellIs" dxfId="1352" priority="2074" operator="equal">
      <formula>1</formula>
    </cfRule>
  </conditionalFormatting>
  <conditionalFormatting sqref="L40">
    <cfRule type="cellIs" dxfId="1351" priority="2075" operator="equal">
      <formula>1</formula>
    </cfRule>
  </conditionalFormatting>
  <conditionalFormatting sqref="L44">
    <cfRule type="cellIs" dxfId="1350" priority="2076" operator="equal">
      <formula>1</formula>
    </cfRule>
  </conditionalFormatting>
  <conditionalFormatting sqref="L59">
    <cfRule type="cellIs" dxfId="1349" priority="2077" operator="equal">
      <formula>1</formula>
    </cfRule>
  </conditionalFormatting>
  <conditionalFormatting sqref="L12">
    <cfRule type="cellIs" dxfId="1348" priority="2078" operator="equal">
      <formula>1</formula>
    </cfRule>
  </conditionalFormatting>
  <conditionalFormatting sqref="L25">
    <cfRule type="cellIs" dxfId="1347" priority="2079" operator="equal">
      <formula>1</formula>
    </cfRule>
  </conditionalFormatting>
  <conditionalFormatting sqref="L13">
    <cfRule type="cellIs" dxfId="1346" priority="2080" operator="equal">
      <formula>1</formula>
    </cfRule>
  </conditionalFormatting>
  <conditionalFormatting sqref="L14">
    <cfRule type="cellIs" dxfId="1345" priority="2081" operator="equal">
      <formula>1</formula>
    </cfRule>
  </conditionalFormatting>
  <conditionalFormatting sqref="L57">
    <cfRule type="cellIs" dxfId="1344" priority="2082" operator="equal">
      <formula>1</formula>
    </cfRule>
  </conditionalFormatting>
  <conditionalFormatting sqref="L57">
    <cfRule type="cellIs" dxfId="1343" priority="2083" operator="equal">
      <formula>1</formula>
    </cfRule>
  </conditionalFormatting>
  <conditionalFormatting sqref="L38">
    <cfRule type="cellIs" dxfId="1342" priority="2084" operator="equal">
      <formula>1</formula>
    </cfRule>
  </conditionalFormatting>
  <conditionalFormatting sqref="L23">
    <cfRule type="cellIs" dxfId="1341" priority="2085" operator="equal">
      <formula>1</formula>
    </cfRule>
  </conditionalFormatting>
  <conditionalFormatting sqref="L9">
    <cfRule type="cellIs" dxfId="1340" priority="2073" operator="equal">
      <formula>1</formula>
    </cfRule>
  </conditionalFormatting>
  <conditionalFormatting sqref="L15:L16">
    <cfRule type="cellIs" dxfId="1339" priority="2072" operator="equal">
      <formula>1</formula>
    </cfRule>
  </conditionalFormatting>
  <conditionalFormatting sqref="L26 L20">
    <cfRule type="cellIs" dxfId="1338" priority="2069" operator="equal">
      <formula>1</formula>
    </cfRule>
  </conditionalFormatting>
  <conditionalFormatting sqref="L43">
    <cfRule type="cellIs" dxfId="1337" priority="2070" operator="equal">
      <formula>1</formula>
    </cfRule>
  </conditionalFormatting>
  <conditionalFormatting sqref="L26">
    <cfRule type="cellIs" dxfId="1336" priority="2071" operator="equal">
      <formula>1</formula>
    </cfRule>
  </conditionalFormatting>
  <conditionalFormatting sqref="L23">
    <cfRule type="cellIs" dxfId="1335" priority="2068" operator="equal">
      <formula>1</formula>
    </cfRule>
  </conditionalFormatting>
  <conditionalFormatting sqref="L56">
    <cfRule type="cellIs" dxfId="1334" priority="2050" operator="equal">
      <formula>1</formula>
    </cfRule>
  </conditionalFormatting>
  <conditionalFormatting sqref="L56">
    <cfRule type="cellIs" dxfId="1333" priority="2051" operator="equal">
      <formula>1</formula>
    </cfRule>
  </conditionalFormatting>
  <conditionalFormatting sqref="L56">
    <cfRule type="cellIs" dxfId="1332" priority="2052" operator="equal">
      <formula>1</formula>
    </cfRule>
  </conditionalFormatting>
  <conditionalFormatting sqref="L20 L26">
    <cfRule type="cellIs" dxfId="1331" priority="2067" operator="equal">
      <formula>1</formula>
    </cfRule>
  </conditionalFormatting>
  <conditionalFormatting sqref="L9:L10 L12:L16 L57 L59 L20 L53">
    <cfRule type="cellIs" dxfId="1330" priority="2062" operator="equal">
      <formula>1</formula>
    </cfRule>
  </conditionalFormatting>
  <conditionalFormatting sqref="L22">
    <cfRule type="cellIs" dxfId="1329" priority="2061" operator="equal">
      <formula>1</formula>
    </cfRule>
  </conditionalFormatting>
  <conditionalFormatting sqref="L58">
    <cfRule type="cellIs" dxfId="1328" priority="2046" operator="equal">
      <formula>1</formula>
    </cfRule>
  </conditionalFormatting>
  <conditionalFormatting sqref="L58">
    <cfRule type="cellIs" dxfId="1327" priority="2047" operator="equal">
      <formula>1</formula>
    </cfRule>
  </conditionalFormatting>
  <conditionalFormatting sqref="L19">
    <cfRule type="cellIs" dxfId="1326" priority="2060" operator="equal">
      <formula>1</formula>
    </cfRule>
  </conditionalFormatting>
  <conditionalFormatting sqref="L55">
    <cfRule type="cellIs" dxfId="1325" priority="2055" operator="equal">
      <formula>1</formula>
    </cfRule>
  </conditionalFormatting>
  <conditionalFormatting sqref="L55">
    <cfRule type="cellIs" dxfId="1324" priority="2056" operator="equal">
      <formula>1</formula>
    </cfRule>
  </conditionalFormatting>
  <conditionalFormatting sqref="L55">
    <cfRule type="cellIs" dxfId="1323" priority="2057" operator="equal">
      <formula>1</formula>
    </cfRule>
  </conditionalFormatting>
  <conditionalFormatting sqref="L55">
    <cfRule type="cellIs" dxfId="1322" priority="2058" operator="equal">
      <formula>1</formula>
    </cfRule>
  </conditionalFormatting>
  <conditionalFormatting sqref="L55">
    <cfRule type="cellIs" dxfId="1321" priority="2059" operator="equal">
      <formula>1</formula>
    </cfRule>
  </conditionalFormatting>
  <conditionalFormatting sqref="L56">
    <cfRule type="cellIs" dxfId="1320" priority="2048" operator="equal">
      <formula>1</formula>
    </cfRule>
  </conditionalFormatting>
  <conditionalFormatting sqref="L56">
    <cfRule type="cellIs" dxfId="1319" priority="2049" operator="equal">
      <formula>1</formula>
    </cfRule>
  </conditionalFormatting>
  <conditionalFormatting sqref="L28:L30">
    <cfRule type="cellIs" dxfId="1318" priority="2045" operator="equal">
      <formula>1</formula>
    </cfRule>
  </conditionalFormatting>
  <conditionalFormatting sqref="L52">
    <cfRule type="cellIs" dxfId="1317" priority="2044" operator="equal">
      <formula>1</formula>
    </cfRule>
  </conditionalFormatting>
  <conditionalFormatting sqref="L52">
    <cfRule type="cellIs" dxfId="1316" priority="2043" operator="equal">
      <formula>1</formula>
    </cfRule>
  </conditionalFormatting>
  <conditionalFormatting sqref="L36">
    <cfRule type="cellIs" dxfId="1315" priority="2042" operator="equal">
      <formula>1</formula>
    </cfRule>
  </conditionalFormatting>
  <conditionalFormatting sqref="L36">
    <cfRule type="cellIs" dxfId="1314" priority="2041" operator="equal">
      <formula>1</formula>
    </cfRule>
  </conditionalFormatting>
  <conditionalFormatting sqref="L54">
    <cfRule type="cellIs" dxfId="1313" priority="2036" operator="equal">
      <formula>1</formula>
    </cfRule>
  </conditionalFormatting>
  <conditionalFormatting sqref="L54">
    <cfRule type="cellIs" dxfId="1312" priority="2037" operator="equal">
      <formula>1</formula>
    </cfRule>
  </conditionalFormatting>
  <conditionalFormatting sqref="L54">
    <cfRule type="cellIs" dxfId="1311" priority="2038" operator="equal">
      <formula>1</formula>
    </cfRule>
  </conditionalFormatting>
  <conditionalFormatting sqref="L54">
    <cfRule type="cellIs" dxfId="1310" priority="2039" operator="equal">
      <formula>1</formula>
    </cfRule>
  </conditionalFormatting>
  <conditionalFormatting sqref="L54">
    <cfRule type="cellIs" dxfId="1309" priority="2040" operator="equal">
      <formula>1</formula>
    </cfRule>
  </conditionalFormatting>
  <conditionalFormatting sqref="L17">
    <cfRule type="cellIs" dxfId="1308" priority="2035" operator="equal">
      <formula>1</formula>
    </cfRule>
  </conditionalFormatting>
  <conditionalFormatting sqref="L17">
    <cfRule type="cellIs" dxfId="1307" priority="2034" operator="equal">
      <formula>1</formula>
    </cfRule>
  </conditionalFormatting>
  <conditionalFormatting sqref="L49">
    <cfRule type="cellIs" dxfId="1306" priority="2033" operator="equal">
      <formula>1</formula>
    </cfRule>
  </conditionalFormatting>
  <conditionalFormatting sqref="L80:L81">
    <cfRule type="cellIs" dxfId="1305" priority="2026" operator="equal">
      <formula>1</formula>
    </cfRule>
  </conditionalFormatting>
  <conditionalFormatting sqref="L75">
    <cfRule type="cellIs" dxfId="1304" priority="2025" operator="equal">
      <formula>1</formula>
    </cfRule>
  </conditionalFormatting>
  <conditionalFormatting sqref="L79">
    <cfRule type="cellIs" dxfId="1303" priority="2022" operator="equal">
      <formula>1</formula>
    </cfRule>
  </conditionalFormatting>
  <conditionalFormatting sqref="L21">
    <cfRule type="cellIs" dxfId="1302" priority="2021" operator="equal">
      <formula>1</formula>
    </cfRule>
  </conditionalFormatting>
  <conditionalFormatting sqref="L68">
    <cfRule type="cellIs" dxfId="1301" priority="2018" operator="equal">
      <formula>1</formula>
    </cfRule>
  </conditionalFormatting>
  <conditionalFormatting sqref="L6">
    <cfRule type="cellIs" dxfId="1300" priority="2017" operator="equal">
      <formula>1</formula>
    </cfRule>
  </conditionalFormatting>
  <conditionalFormatting sqref="L27">
    <cfRule type="cellIs" dxfId="1299" priority="2016" operator="equal">
      <formula>1</formula>
    </cfRule>
  </conditionalFormatting>
  <conditionalFormatting sqref="L69:L72 L65:L67">
    <cfRule type="colorScale" priority="2089">
      <colorScale>
        <cfvo type="num" val="1"/>
        <cfvo type="num" val="10"/>
        <color rgb="FF00B050"/>
        <color rgb="FFFFEF9C"/>
      </colorScale>
    </cfRule>
    <cfRule type="colorScale" priority="2090">
      <colorScale>
        <cfvo type="num" val="2"/>
        <cfvo type="max"/>
        <color rgb="FF0070C0"/>
        <color rgb="FFFFEF9C"/>
      </colorScale>
    </cfRule>
  </conditionalFormatting>
  <conditionalFormatting sqref="L68">
    <cfRule type="colorScale" priority="2095">
      <colorScale>
        <cfvo type="num" val="1"/>
        <cfvo type="num" val="10"/>
        <color rgb="FF00B050"/>
        <color rgb="FFFFEF9C"/>
      </colorScale>
    </cfRule>
    <cfRule type="colorScale" priority="2096">
      <colorScale>
        <cfvo type="num" val="2"/>
        <cfvo type="max"/>
        <color rgb="FF0070C0"/>
        <color rgb="FFFFEF9C"/>
      </colorScale>
    </cfRule>
  </conditionalFormatting>
  <conditionalFormatting sqref="L50">
    <cfRule type="cellIs" dxfId="1298" priority="2015" operator="equal">
      <formula>1</formula>
    </cfRule>
  </conditionalFormatting>
  <conditionalFormatting sqref="L78">
    <cfRule type="cellIs" dxfId="1297" priority="2012" operator="equal">
      <formula>1</formula>
    </cfRule>
  </conditionalFormatting>
  <conditionalFormatting sqref="L78">
    <cfRule type="colorScale" priority="2013">
      <colorScale>
        <cfvo type="num" val="1"/>
        <cfvo type="num" val="10"/>
        <color rgb="FF00B050"/>
        <color rgb="FFFFEF9C"/>
      </colorScale>
    </cfRule>
    <cfRule type="colorScale" priority="2014">
      <colorScale>
        <cfvo type="num" val="2"/>
        <cfvo type="max"/>
        <color rgb="FF0070C0"/>
        <color rgb="FFFFEF9C"/>
      </colorScale>
    </cfRule>
  </conditionalFormatting>
  <conditionalFormatting sqref="L11">
    <cfRule type="cellIs" dxfId="1296" priority="2005" operator="equal">
      <formula>1</formula>
    </cfRule>
  </conditionalFormatting>
  <conditionalFormatting sqref="L11">
    <cfRule type="cellIs" dxfId="1295" priority="2001" operator="equal">
      <formula>1</formula>
    </cfRule>
  </conditionalFormatting>
  <conditionalFormatting sqref="L11">
    <cfRule type="cellIs" dxfId="1294" priority="2002" operator="equal">
      <formula>1</formula>
    </cfRule>
  </conditionalFormatting>
  <conditionalFormatting sqref="L11">
    <cfRule type="cellIs" dxfId="1293" priority="2003" operator="equal">
      <formula>1</formula>
    </cfRule>
  </conditionalFormatting>
  <conditionalFormatting sqref="L11">
    <cfRule type="cellIs" dxfId="1292" priority="2004" operator="equal">
      <formula>1</formula>
    </cfRule>
  </conditionalFormatting>
  <conditionalFormatting sqref="L11">
    <cfRule type="cellIs" dxfId="1291" priority="2000" operator="equal">
      <formula>1</formula>
    </cfRule>
  </conditionalFormatting>
  <conditionalFormatting sqref="L32">
    <cfRule type="cellIs" dxfId="1290" priority="1999" operator="equal">
      <formula>1</formula>
    </cfRule>
  </conditionalFormatting>
  <conditionalFormatting sqref="L60">
    <cfRule type="cellIs" dxfId="1289" priority="1997" operator="equal">
      <formula>1</formula>
    </cfRule>
  </conditionalFormatting>
  <conditionalFormatting sqref="L73:L74">
    <cfRule type="colorScale" priority="2103">
      <colorScale>
        <cfvo type="num" val="1"/>
        <cfvo type="num" val="10"/>
        <color rgb="FF00B050"/>
        <color rgb="FFFFEF9C"/>
      </colorScale>
    </cfRule>
    <cfRule type="colorScale" priority="2104">
      <colorScale>
        <cfvo type="num" val="2"/>
        <cfvo type="max"/>
        <color rgb="FF0070C0"/>
        <color rgb="FFFFEF9C"/>
      </colorScale>
    </cfRule>
  </conditionalFormatting>
  <conditionalFormatting sqref="L18">
    <cfRule type="cellIs" dxfId="1288" priority="1987" operator="equal">
      <formula>1</formula>
    </cfRule>
  </conditionalFormatting>
  <conditionalFormatting sqref="L18">
    <cfRule type="cellIs" dxfId="1287" priority="1986" operator="equal">
      <formula>1</formula>
    </cfRule>
  </conditionalFormatting>
  <conditionalFormatting sqref="L77">
    <cfRule type="cellIs" dxfId="1286" priority="1983" operator="equal">
      <formula>1</formula>
    </cfRule>
  </conditionalFormatting>
  <conditionalFormatting sqref="L77">
    <cfRule type="colorScale" priority="1984">
      <colorScale>
        <cfvo type="num" val="1"/>
        <cfvo type="num" val="10"/>
        <color rgb="FF00B050"/>
        <color rgb="FFFFEF9C"/>
      </colorScale>
    </cfRule>
    <cfRule type="colorScale" priority="1985">
      <colorScale>
        <cfvo type="num" val="2"/>
        <cfvo type="max"/>
        <color rgb="FF0070C0"/>
        <color rgb="FFFFEF9C"/>
      </colorScale>
    </cfRule>
  </conditionalFormatting>
  <conditionalFormatting sqref="L76">
    <cfRule type="cellIs" dxfId="1285" priority="1980" operator="equal">
      <formula>1</formula>
    </cfRule>
  </conditionalFormatting>
  <conditionalFormatting sqref="L76">
    <cfRule type="colorScale" priority="1981">
      <colorScale>
        <cfvo type="num" val="1"/>
        <cfvo type="num" val="10"/>
        <color rgb="FF00B050"/>
        <color rgb="FFFFEF9C"/>
      </colorScale>
    </cfRule>
    <cfRule type="colorScale" priority="1982">
      <colorScale>
        <cfvo type="num" val="2"/>
        <cfvo type="max"/>
        <color rgb="FF0070C0"/>
        <color rgb="FFFFEF9C"/>
      </colorScale>
    </cfRule>
  </conditionalFormatting>
  <conditionalFormatting sqref="L31">
    <cfRule type="cellIs" dxfId="1284" priority="1979" operator="equal">
      <formula>1</formula>
    </cfRule>
  </conditionalFormatting>
  <conditionalFormatting sqref="L31">
    <cfRule type="cellIs" dxfId="1283" priority="1978" operator="equal">
      <formula>1</formula>
    </cfRule>
  </conditionalFormatting>
  <conditionalFormatting sqref="L33">
    <cfRule type="cellIs" dxfId="1282" priority="1977" operator="equal">
      <formula>1</formula>
    </cfRule>
  </conditionalFormatting>
  <conditionalFormatting sqref="L33">
    <cfRule type="cellIs" dxfId="1281" priority="1976" operator="equal">
      <formula>1</formula>
    </cfRule>
  </conditionalFormatting>
  <conditionalFormatting sqref="L82">
    <cfRule type="cellIs" dxfId="1280" priority="1975" operator="equal">
      <formula>1</formula>
    </cfRule>
  </conditionalFormatting>
  <conditionalFormatting sqref="L84:L86">
    <cfRule type="cellIs" dxfId="1279" priority="1972" operator="equal">
      <formula>1</formula>
    </cfRule>
  </conditionalFormatting>
  <conditionalFormatting sqref="L83">
    <cfRule type="cellIs" dxfId="1278" priority="1971" operator="equal">
      <formula>1</formula>
    </cfRule>
  </conditionalFormatting>
  <conditionalFormatting sqref="L83">
    <cfRule type="cellIs" dxfId="1277" priority="1970" operator="equal">
      <formula>1</formula>
    </cfRule>
  </conditionalFormatting>
  <conditionalFormatting sqref="L84:L86 L82">
    <cfRule type="colorScale" priority="1973">
      <colorScale>
        <cfvo type="num" val="1"/>
        <cfvo type="num" val="10"/>
        <color rgb="FF00B050"/>
        <color rgb="FFFFEF9C"/>
      </colorScale>
    </cfRule>
    <cfRule type="colorScale" priority="1974">
      <colorScale>
        <cfvo type="num" val="2"/>
        <cfvo type="max"/>
        <color rgb="FF0070C0"/>
        <color rgb="FFFFEF9C"/>
      </colorScale>
    </cfRule>
  </conditionalFormatting>
  <conditionalFormatting sqref="M42">
    <cfRule type="cellIs" dxfId="1276" priority="1917" operator="equal">
      <formula>1</formula>
    </cfRule>
  </conditionalFormatting>
  <conditionalFormatting sqref="L5">
    <cfRule type="cellIs" dxfId="1275" priority="1969" operator="equal">
      <formula>1</formula>
    </cfRule>
  </conditionalFormatting>
  <conditionalFormatting sqref="M42">
    <cfRule type="cellIs" dxfId="1274" priority="1916" operator="equal">
      <formula>1</formula>
    </cfRule>
  </conditionalFormatting>
  <conditionalFormatting sqref="L5">
    <cfRule type="cellIs" dxfId="1273" priority="1968" operator="equal">
      <formula>1</formula>
    </cfRule>
  </conditionalFormatting>
  <conditionalFormatting sqref="M69:M74">
    <cfRule type="cellIs" dxfId="1272" priority="1963" operator="equal">
      <formula>1</formula>
    </cfRule>
  </conditionalFormatting>
  <conditionalFormatting sqref="M51">
    <cfRule type="cellIs" dxfId="1271" priority="1962" operator="equal">
      <formula>1</formula>
    </cfRule>
  </conditionalFormatting>
  <conditionalFormatting sqref="M37:M38 M43:M48">
    <cfRule type="cellIs" dxfId="1270" priority="1960" operator="equal">
      <formula>1</formula>
    </cfRule>
  </conditionalFormatting>
  <conditionalFormatting sqref="M65:M67">
    <cfRule type="cellIs" dxfId="1269" priority="1951" operator="equal">
      <formula>1</formula>
    </cfRule>
  </conditionalFormatting>
  <conditionalFormatting sqref="M34:M35">
    <cfRule type="cellIs" dxfId="1268" priority="1950" operator="equal">
      <formula>1</formula>
    </cfRule>
  </conditionalFormatting>
  <conditionalFormatting sqref="M10">
    <cfRule type="cellIs" dxfId="1267" priority="1937" operator="equal">
      <formula>1</formula>
    </cfRule>
  </conditionalFormatting>
  <conditionalFormatting sqref="M40">
    <cfRule type="cellIs" dxfId="1266" priority="1938" operator="equal">
      <formula>1</formula>
    </cfRule>
  </conditionalFormatting>
  <conditionalFormatting sqref="M44">
    <cfRule type="cellIs" dxfId="1265" priority="1939" operator="equal">
      <formula>1</formula>
    </cfRule>
  </conditionalFormatting>
  <conditionalFormatting sqref="M59">
    <cfRule type="cellIs" dxfId="1264" priority="1940" operator="equal">
      <formula>1</formula>
    </cfRule>
  </conditionalFormatting>
  <conditionalFormatting sqref="M12">
    <cfRule type="cellIs" dxfId="1263" priority="1941" operator="equal">
      <formula>1</formula>
    </cfRule>
  </conditionalFormatting>
  <conditionalFormatting sqref="M25">
    <cfRule type="cellIs" dxfId="1262" priority="1942" operator="equal">
      <formula>1</formula>
    </cfRule>
  </conditionalFormatting>
  <conditionalFormatting sqref="M13">
    <cfRule type="cellIs" dxfId="1261" priority="1943" operator="equal">
      <formula>1</formula>
    </cfRule>
  </conditionalFormatting>
  <conditionalFormatting sqref="M14">
    <cfRule type="cellIs" dxfId="1260" priority="1944" operator="equal">
      <formula>1</formula>
    </cfRule>
  </conditionalFormatting>
  <conditionalFormatting sqref="M57">
    <cfRule type="cellIs" dxfId="1259" priority="1945" operator="equal">
      <formula>1</formula>
    </cfRule>
  </conditionalFormatting>
  <conditionalFormatting sqref="M57">
    <cfRule type="cellIs" dxfId="1258" priority="1946" operator="equal">
      <formula>1</formula>
    </cfRule>
  </conditionalFormatting>
  <conditionalFormatting sqref="M38">
    <cfRule type="cellIs" dxfId="1257" priority="1947" operator="equal">
      <formula>1</formula>
    </cfRule>
  </conditionalFormatting>
  <conditionalFormatting sqref="M23">
    <cfRule type="cellIs" dxfId="1256" priority="1948" operator="equal">
      <formula>1</formula>
    </cfRule>
  </conditionalFormatting>
  <conditionalFormatting sqref="M8">
    <cfRule type="cellIs" dxfId="1255" priority="1949" operator="equal">
      <formula>1</formula>
    </cfRule>
  </conditionalFormatting>
  <conditionalFormatting sqref="M9">
    <cfRule type="cellIs" dxfId="1254" priority="1936" operator="equal">
      <formula>1</formula>
    </cfRule>
  </conditionalFormatting>
  <conditionalFormatting sqref="M15:M16">
    <cfRule type="cellIs" dxfId="1253" priority="1935" operator="equal">
      <formula>1</formula>
    </cfRule>
  </conditionalFormatting>
  <conditionalFormatting sqref="M26 M20">
    <cfRule type="cellIs" dxfId="1252" priority="1932" operator="equal">
      <formula>1</formula>
    </cfRule>
  </conditionalFormatting>
  <conditionalFormatting sqref="M43">
    <cfRule type="cellIs" dxfId="1251" priority="1933" operator="equal">
      <formula>1</formula>
    </cfRule>
  </conditionalFormatting>
  <conditionalFormatting sqref="M26">
    <cfRule type="cellIs" dxfId="1250" priority="1934" operator="equal">
      <formula>1</formula>
    </cfRule>
  </conditionalFormatting>
  <conditionalFormatting sqref="M23">
    <cfRule type="cellIs" dxfId="1249" priority="1931" operator="equal">
      <formula>1</formula>
    </cfRule>
  </conditionalFormatting>
  <conditionalFormatting sqref="M8">
    <cfRule type="cellIs" dxfId="1248" priority="1926" operator="equal">
      <formula>1</formula>
    </cfRule>
  </conditionalFormatting>
  <conditionalFormatting sqref="M8">
    <cfRule type="cellIs" dxfId="1247" priority="1927" operator="equal">
      <formula>1</formula>
    </cfRule>
  </conditionalFormatting>
  <conditionalFormatting sqref="M8">
    <cfRule type="cellIs" dxfId="1246" priority="1928" operator="equal">
      <formula>1</formula>
    </cfRule>
  </conditionalFormatting>
  <conditionalFormatting sqref="M8">
    <cfRule type="cellIs" dxfId="1245" priority="1929" operator="equal">
      <formula>1</formula>
    </cfRule>
  </conditionalFormatting>
  <conditionalFormatting sqref="M20 M26">
    <cfRule type="cellIs" dxfId="1244" priority="1930" operator="equal">
      <formula>1</formula>
    </cfRule>
  </conditionalFormatting>
  <conditionalFormatting sqref="M8:M10 M12:M16 M57 M59 M20 M53">
    <cfRule type="cellIs" dxfId="1243" priority="1925" operator="equal">
      <formula>1</formula>
    </cfRule>
  </conditionalFormatting>
  <conditionalFormatting sqref="M22">
    <cfRule type="cellIs" dxfId="1242" priority="1924" operator="equal">
      <formula>1</formula>
    </cfRule>
  </conditionalFormatting>
  <conditionalFormatting sqref="M58">
    <cfRule type="cellIs" dxfId="1241" priority="1909" operator="equal">
      <formula>1</formula>
    </cfRule>
  </conditionalFormatting>
  <conditionalFormatting sqref="M58">
    <cfRule type="cellIs" dxfId="1240" priority="1910" operator="equal">
      <formula>1</formula>
    </cfRule>
  </conditionalFormatting>
  <conditionalFormatting sqref="M19">
    <cfRule type="cellIs" dxfId="1239" priority="1923" operator="equal">
      <formula>1</formula>
    </cfRule>
  </conditionalFormatting>
  <conditionalFormatting sqref="M55">
    <cfRule type="cellIs" dxfId="1238" priority="1918" operator="equal">
      <formula>1</formula>
    </cfRule>
  </conditionalFormatting>
  <conditionalFormatting sqref="M55">
    <cfRule type="cellIs" dxfId="1237" priority="1919" operator="equal">
      <formula>1</formula>
    </cfRule>
  </conditionalFormatting>
  <conditionalFormatting sqref="M55">
    <cfRule type="cellIs" dxfId="1236" priority="1920" operator="equal">
      <formula>1</formula>
    </cfRule>
  </conditionalFormatting>
  <conditionalFormatting sqref="M55">
    <cfRule type="cellIs" dxfId="1235" priority="1921" operator="equal">
      <formula>1</formula>
    </cfRule>
  </conditionalFormatting>
  <conditionalFormatting sqref="M55">
    <cfRule type="cellIs" dxfId="1234" priority="1922" operator="equal">
      <formula>1</formula>
    </cfRule>
  </conditionalFormatting>
  <conditionalFormatting sqref="M56">
    <cfRule type="cellIs" dxfId="1233" priority="1911" operator="equal">
      <formula>1</formula>
    </cfRule>
  </conditionalFormatting>
  <conditionalFormatting sqref="M56">
    <cfRule type="cellIs" dxfId="1232" priority="1912" operator="equal">
      <formula>1</formula>
    </cfRule>
  </conditionalFormatting>
  <conditionalFormatting sqref="M56">
    <cfRule type="cellIs" dxfId="1231" priority="1913" operator="equal">
      <formula>1</formula>
    </cfRule>
  </conditionalFormatting>
  <conditionalFormatting sqref="M56">
    <cfRule type="cellIs" dxfId="1230" priority="1914" operator="equal">
      <formula>1</formula>
    </cfRule>
  </conditionalFormatting>
  <conditionalFormatting sqref="M56">
    <cfRule type="cellIs" dxfId="1229" priority="1915" operator="equal">
      <formula>1</formula>
    </cfRule>
  </conditionalFormatting>
  <conditionalFormatting sqref="M28:M30">
    <cfRule type="cellIs" dxfId="1228" priority="1908" operator="equal">
      <formula>1</formula>
    </cfRule>
  </conditionalFormatting>
  <conditionalFormatting sqref="M52">
    <cfRule type="cellIs" dxfId="1227" priority="1907" operator="equal">
      <formula>1</formula>
    </cfRule>
  </conditionalFormatting>
  <conditionalFormatting sqref="M52">
    <cfRule type="cellIs" dxfId="1226" priority="1906" operator="equal">
      <formula>1</formula>
    </cfRule>
  </conditionalFormatting>
  <conditionalFormatting sqref="M36">
    <cfRule type="cellIs" dxfId="1225" priority="1905" operator="equal">
      <formula>1</formula>
    </cfRule>
  </conditionalFormatting>
  <conditionalFormatting sqref="M36">
    <cfRule type="cellIs" dxfId="1224" priority="1904" operator="equal">
      <formula>1</formula>
    </cfRule>
  </conditionalFormatting>
  <conditionalFormatting sqref="M54">
    <cfRule type="cellIs" dxfId="1223" priority="1899" operator="equal">
      <formula>1</formula>
    </cfRule>
  </conditionalFormatting>
  <conditionalFormatting sqref="M54">
    <cfRule type="cellIs" dxfId="1222" priority="1900" operator="equal">
      <formula>1</formula>
    </cfRule>
  </conditionalFormatting>
  <conditionalFormatting sqref="M54">
    <cfRule type="cellIs" dxfId="1221" priority="1901" operator="equal">
      <formula>1</formula>
    </cfRule>
  </conditionalFormatting>
  <conditionalFormatting sqref="M54">
    <cfRule type="cellIs" dxfId="1220" priority="1902" operator="equal">
      <formula>1</formula>
    </cfRule>
  </conditionalFormatting>
  <conditionalFormatting sqref="M54">
    <cfRule type="cellIs" dxfId="1219" priority="1903" operator="equal">
      <formula>1</formula>
    </cfRule>
  </conditionalFormatting>
  <conditionalFormatting sqref="M17">
    <cfRule type="cellIs" dxfId="1218" priority="1898" operator="equal">
      <formula>1</formula>
    </cfRule>
  </conditionalFormatting>
  <conditionalFormatting sqref="M17">
    <cfRule type="cellIs" dxfId="1217" priority="1897" operator="equal">
      <formula>1</formula>
    </cfRule>
  </conditionalFormatting>
  <conditionalFormatting sqref="M49">
    <cfRule type="cellIs" dxfId="1216" priority="1896" operator="equal">
      <formula>1</formula>
    </cfRule>
  </conditionalFormatting>
  <conditionalFormatting sqref="M80:M81">
    <cfRule type="cellIs" dxfId="1215" priority="1889" operator="equal">
      <formula>1</formula>
    </cfRule>
  </conditionalFormatting>
  <conditionalFormatting sqref="M75">
    <cfRule type="cellIs" dxfId="1214" priority="1888" operator="equal">
      <formula>1</formula>
    </cfRule>
  </conditionalFormatting>
  <conditionalFormatting sqref="M79">
    <cfRule type="cellIs" dxfId="1213" priority="1885" operator="equal">
      <formula>1</formula>
    </cfRule>
  </conditionalFormatting>
  <conditionalFormatting sqref="M21">
    <cfRule type="cellIs" dxfId="1212" priority="1884" operator="equal">
      <formula>1</formula>
    </cfRule>
  </conditionalFormatting>
  <conditionalFormatting sqref="M68">
    <cfRule type="cellIs" dxfId="1211" priority="1881" operator="equal">
      <formula>1</formula>
    </cfRule>
  </conditionalFormatting>
  <conditionalFormatting sqref="M6">
    <cfRule type="cellIs" dxfId="1210" priority="1880" operator="equal">
      <formula>1</formula>
    </cfRule>
  </conditionalFormatting>
  <conditionalFormatting sqref="M27">
    <cfRule type="cellIs" dxfId="1209" priority="1879" operator="equal">
      <formula>1</formula>
    </cfRule>
  </conditionalFormatting>
  <conditionalFormatting sqref="M69:M72">
    <cfRule type="colorScale" priority="1952">
      <colorScale>
        <cfvo type="num" val="1"/>
        <cfvo type="num" val="10"/>
        <color rgb="FF00B050"/>
        <color rgb="FFFFEF9C"/>
      </colorScale>
    </cfRule>
    <cfRule type="colorScale" priority="1953">
      <colorScale>
        <cfvo type="num" val="2"/>
        <cfvo type="max"/>
        <color rgb="FF0070C0"/>
        <color rgb="FFFFEF9C"/>
      </colorScale>
    </cfRule>
  </conditionalFormatting>
  <conditionalFormatting sqref="M68">
    <cfRule type="colorScale" priority="1958">
      <colorScale>
        <cfvo type="num" val="1"/>
        <cfvo type="num" val="10"/>
        <color rgb="FF00B050"/>
        <color rgb="FFFFEF9C"/>
      </colorScale>
    </cfRule>
    <cfRule type="colorScale" priority="1959">
      <colorScale>
        <cfvo type="num" val="2"/>
        <cfvo type="max"/>
        <color rgb="FF0070C0"/>
        <color rgb="FFFFEF9C"/>
      </colorScale>
    </cfRule>
  </conditionalFormatting>
  <conditionalFormatting sqref="M50">
    <cfRule type="cellIs" dxfId="1208" priority="1878" operator="equal">
      <formula>1</formula>
    </cfRule>
  </conditionalFormatting>
  <conditionalFormatting sqref="M78">
    <cfRule type="cellIs" dxfId="1207" priority="1875" operator="equal">
      <formula>1</formula>
    </cfRule>
  </conditionalFormatting>
  <conditionalFormatting sqref="M78">
    <cfRule type="colorScale" priority="1876">
      <colorScale>
        <cfvo type="num" val="1"/>
        <cfvo type="num" val="10"/>
        <color rgb="FF00B050"/>
        <color rgb="FFFFEF9C"/>
      </colorScale>
    </cfRule>
    <cfRule type="colorScale" priority="1877">
      <colorScale>
        <cfvo type="num" val="2"/>
        <cfvo type="max"/>
        <color rgb="FF0070C0"/>
        <color rgb="FFFFEF9C"/>
      </colorScale>
    </cfRule>
  </conditionalFormatting>
  <conditionalFormatting sqref="M11">
    <cfRule type="cellIs" dxfId="1206" priority="1868" operator="equal">
      <formula>1</formula>
    </cfRule>
  </conditionalFormatting>
  <conditionalFormatting sqref="M11">
    <cfRule type="cellIs" dxfId="1205" priority="1864" operator="equal">
      <formula>1</formula>
    </cfRule>
  </conditionalFormatting>
  <conditionalFormatting sqref="M11">
    <cfRule type="cellIs" dxfId="1204" priority="1865" operator="equal">
      <formula>1</formula>
    </cfRule>
  </conditionalFormatting>
  <conditionalFormatting sqref="M11">
    <cfRule type="cellIs" dxfId="1203" priority="1866" operator="equal">
      <formula>1</formula>
    </cfRule>
  </conditionalFormatting>
  <conditionalFormatting sqref="M11">
    <cfRule type="cellIs" dxfId="1202" priority="1867" operator="equal">
      <formula>1</formula>
    </cfRule>
  </conditionalFormatting>
  <conditionalFormatting sqref="M11">
    <cfRule type="cellIs" dxfId="1201" priority="1863" operator="equal">
      <formula>1</formula>
    </cfRule>
  </conditionalFormatting>
  <conditionalFormatting sqref="M32">
    <cfRule type="cellIs" dxfId="1200" priority="1862" operator="equal">
      <formula>1</formula>
    </cfRule>
  </conditionalFormatting>
  <conditionalFormatting sqref="M60">
    <cfRule type="cellIs" dxfId="1199" priority="1860" operator="equal">
      <formula>1</formula>
    </cfRule>
  </conditionalFormatting>
  <conditionalFormatting sqref="M73:M74">
    <cfRule type="colorScale" priority="1966">
      <colorScale>
        <cfvo type="num" val="1"/>
        <cfvo type="num" val="10"/>
        <color rgb="FF00B050"/>
        <color rgb="FFFFEF9C"/>
      </colorScale>
    </cfRule>
    <cfRule type="colorScale" priority="1967">
      <colorScale>
        <cfvo type="num" val="2"/>
        <cfvo type="max"/>
        <color rgb="FF0070C0"/>
        <color rgb="FFFFEF9C"/>
      </colorScale>
    </cfRule>
  </conditionalFormatting>
  <conditionalFormatting sqref="M18">
    <cfRule type="cellIs" dxfId="1198" priority="1850" operator="equal">
      <formula>1</formula>
    </cfRule>
  </conditionalFormatting>
  <conditionalFormatting sqref="M18">
    <cfRule type="cellIs" dxfId="1197" priority="1849" operator="equal">
      <formula>1</formula>
    </cfRule>
  </conditionalFormatting>
  <conditionalFormatting sqref="M77">
    <cfRule type="cellIs" dxfId="1196" priority="1846" operator="equal">
      <formula>1</formula>
    </cfRule>
  </conditionalFormatting>
  <conditionalFormatting sqref="M77">
    <cfRule type="colorScale" priority="1847">
      <colorScale>
        <cfvo type="num" val="1"/>
        <cfvo type="num" val="10"/>
        <color rgb="FF00B050"/>
        <color rgb="FFFFEF9C"/>
      </colorScale>
    </cfRule>
    <cfRule type="colorScale" priority="1848">
      <colorScale>
        <cfvo type="num" val="2"/>
        <cfvo type="max"/>
        <color rgb="FF0070C0"/>
        <color rgb="FFFFEF9C"/>
      </colorScale>
    </cfRule>
  </conditionalFormatting>
  <conditionalFormatting sqref="M76">
    <cfRule type="cellIs" dxfId="1195" priority="1843" operator="equal">
      <formula>1</formula>
    </cfRule>
  </conditionalFormatting>
  <conditionalFormatting sqref="M76">
    <cfRule type="colorScale" priority="1844">
      <colorScale>
        <cfvo type="num" val="1"/>
        <cfvo type="num" val="10"/>
        <color rgb="FF00B050"/>
        <color rgb="FFFFEF9C"/>
      </colorScale>
    </cfRule>
    <cfRule type="colorScale" priority="1845">
      <colorScale>
        <cfvo type="num" val="2"/>
        <cfvo type="max"/>
        <color rgb="FF0070C0"/>
        <color rgb="FFFFEF9C"/>
      </colorScale>
    </cfRule>
  </conditionalFormatting>
  <conditionalFormatting sqref="M31">
    <cfRule type="cellIs" dxfId="1194" priority="1842" operator="equal">
      <formula>1</formula>
    </cfRule>
  </conditionalFormatting>
  <conditionalFormatting sqref="M31">
    <cfRule type="cellIs" dxfId="1193" priority="1841" operator="equal">
      <formula>1</formula>
    </cfRule>
  </conditionalFormatting>
  <conditionalFormatting sqref="M33">
    <cfRule type="cellIs" dxfId="1192" priority="1840" operator="equal">
      <formula>1</formula>
    </cfRule>
  </conditionalFormatting>
  <conditionalFormatting sqref="M33">
    <cfRule type="cellIs" dxfId="1191" priority="1839" operator="equal">
      <formula>1</formula>
    </cfRule>
  </conditionalFormatting>
  <conditionalFormatting sqref="M82">
    <cfRule type="cellIs" dxfId="1190" priority="1838" operator="equal">
      <formula>1</formula>
    </cfRule>
  </conditionalFormatting>
  <conditionalFormatting sqref="M84:M86">
    <cfRule type="cellIs" dxfId="1189" priority="1835" operator="equal">
      <formula>1</formula>
    </cfRule>
  </conditionalFormatting>
  <conditionalFormatting sqref="M83">
    <cfRule type="cellIs" dxfId="1188" priority="1834" operator="equal">
      <formula>1</formula>
    </cfRule>
  </conditionalFormatting>
  <conditionalFormatting sqref="M83">
    <cfRule type="cellIs" dxfId="1187" priority="1833" operator="equal">
      <formula>1</formula>
    </cfRule>
  </conditionalFormatting>
  <conditionalFormatting sqref="M84:M86 M82">
    <cfRule type="colorScale" priority="1836">
      <colorScale>
        <cfvo type="num" val="1"/>
        <cfvo type="num" val="10"/>
        <color rgb="FF00B050"/>
        <color rgb="FFFFEF9C"/>
      </colorScale>
    </cfRule>
    <cfRule type="colorScale" priority="1837">
      <colorScale>
        <cfvo type="num" val="2"/>
        <cfvo type="max"/>
        <color rgb="FF0070C0"/>
        <color rgb="FFFFEF9C"/>
      </colorScale>
    </cfRule>
  </conditionalFormatting>
  <conditionalFormatting sqref="M5">
    <cfRule type="cellIs" dxfId="1186" priority="1832" operator="equal">
      <formula>1</formula>
    </cfRule>
  </conditionalFormatting>
  <conditionalFormatting sqref="M5">
    <cfRule type="cellIs" dxfId="1185" priority="1831" operator="equal">
      <formula>1</formula>
    </cfRule>
  </conditionalFormatting>
  <conditionalFormatting sqref="K39">
    <cfRule type="cellIs" dxfId="1184" priority="1830" operator="equal">
      <formula>1</formula>
    </cfRule>
  </conditionalFormatting>
  <conditionalFormatting sqref="K39">
    <cfRule type="cellIs" dxfId="1183" priority="1829" operator="equal">
      <formula>1</formula>
    </cfRule>
  </conditionalFormatting>
  <conditionalFormatting sqref="L39">
    <cfRule type="cellIs" dxfId="1182" priority="1828" operator="equal">
      <formula>1</formula>
    </cfRule>
  </conditionalFormatting>
  <conditionalFormatting sqref="L39">
    <cfRule type="cellIs" dxfId="1181" priority="1827" operator="equal">
      <formula>1</formula>
    </cfRule>
  </conditionalFormatting>
  <conditionalFormatting sqref="M39">
    <cfRule type="cellIs" dxfId="1180" priority="1826" operator="equal">
      <formula>1</formula>
    </cfRule>
  </conditionalFormatting>
  <conditionalFormatting sqref="M39">
    <cfRule type="cellIs" dxfId="1179" priority="1825" operator="equal">
      <formula>1</formula>
    </cfRule>
  </conditionalFormatting>
  <conditionalFormatting sqref="N25:N26 N40:N41">
    <cfRule type="cellIs" dxfId="1178" priority="1824" operator="equal">
      <formula>1</formula>
    </cfRule>
  </conditionalFormatting>
  <conditionalFormatting sqref="N69:N74">
    <cfRule type="cellIs" dxfId="1177" priority="1819" operator="equal">
      <formula>1</formula>
    </cfRule>
  </conditionalFormatting>
  <conditionalFormatting sqref="N51">
    <cfRule type="cellIs" dxfId="1176" priority="1818" operator="equal">
      <formula>1</formula>
    </cfRule>
  </conditionalFormatting>
  <conditionalFormatting sqref="N37:N38 N43:N48">
    <cfRule type="cellIs" dxfId="1175" priority="1816" operator="equal">
      <formula>1</formula>
    </cfRule>
  </conditionalFormatting>
  <conditionalFormatting sqref="N65:N67">
    <cfRule type="cellIs" dxfId="1174" priority="1807" operator="equal">
      <formula>1</formula>
    </cfRule>
  </conditionalFormatting>
  <conditionalFormatting sqref="N34:N35">
    <cfRule type="cellIs" dxfId="1173" priority="1806" operator="equal">
      <formula>1</formula>
    </cfRule>
  </conditionalFormatting>
  <conditionalFormatting sqref="N10">
    <cfRule type="cellIs" dxfId="1172" priority="1793" operator="equal">
      <formula>1</formula>
    </cfRule>
  </conditionalFormatting>
  <conditionalFormatting sqref="N40">
    <cfRule type="cellIs" dxfId="1171" priority="1794" operator="equal">
      <formula>1</formula>
    </cfRule>
  </conditionalFormatting>
  <conditionalFormatting sqref="N44">
    <cfRule type="cellIs" dxfId="1170" priority="1795" operator="equal">
      <formula>1</formula>
    </cfRule>
  </conditionalFormatting>
  <conditionalFormatting sqref="N59">
    <cfRule type="cellIs" dxfId="1169" priority="1796" operator="equal">
      <formula>1</formula>
    </cfRule>
  </conditionalFormatting>
  <conditionalFormatting sqref="N12">
    <cfRule type="cellIs" dxfId="1168" priority="1797" operator="equal">
      <formula>1</formula>
    </cfRule>
  </conditionalFormatting>
  <conditionalFormatting sqref="N25">
    <cfRule type="cellIs" dxfId="1167" priority="1798" operator="equal">
      <formula>1</formula>
    </cfRule>
  </conditionalFormatting>
  <conditionalFormatting sqref="N13">
    <cfRule type="cellIs" dxfId="1166" priority="1799" operator="equal">
      <formula>1</formula>
    </cfRule>
  </conditionalFormatting>
  <conditionalFormatting sqref="N14">
    <cfRule type="cellIs" dxfId="1165" priority="1800" operator="equal">
      <formula>1</formula>
    </cfRule>
  </conditionalFormatting>
  <conditionalFormatting sqref="N57">
    <cfRule type="cellIs" dxfId="1164" priority="1801" operator="equal">
      <formula>1</formula>
    </cfRule>
  </conditionalFormatting>
  <conditionalFormatting sqref="N57">
    <cfRule type="cellIs" dxfId="1163" priority="1802" operator="equal">
      <formula>1</formula>
    </cfRule>
  </conditionalFormatting>
  <conditionalFormatting sqref="N38">
    <cfRule type="cellIs" dxfId="1162" priority="1803" operator="equal">
      <formula>1</formula>
    </cfRule>
  </conditionalFormatting>
  <conditionalFormatting sqref="N23">
    <cfRule type="cellIs" dxfId="1161" priority="1804" operator="equal">
      <formula>1</formula>
    </cfRule>
  </conditionalFormatting>
  <conditionalFormatting sqref="N8">
    <cfRule type="cellIs" dxfId="1160" priority="1805" operator="equal">
      <formula>1</formula>
    </cfRule>
  </conditionalFormatting>
  <conditionalFormatting sqref="N9">
    <cfRule type="cellIs" dxfId="1159" priority="1792" operator="equal">
      <formula>1</formula>
    </cfRule>
  </conditionalFormatting>
  <conditionalFormatting sqref="N15:N16">
    <cfRule type="cellIs" dxfId="1158" priority="1791" operator="equal">
      <formula>1</formula>
    </cfRule>
  </conditionalFormatting>
  <conditionalFormatting sqref="N26 N20">
    <cfRule type="cellIs" dxfId="1157" priority="1788" operator="equal">
      <formula>1</formula>
    </cfRule>
  </conditionalFormatting>
  <conditionalFormatting sqref="N43">
    <cfRule type="cellIs" dxfId="1156" priority="1789" operator="equal">
      <formula>1</formula>
    </cfRule>
  </conditionalFormatting>
  <conditionalFormatting sqref="N26">
    <cfRule type="cellIs" dxfId="1155" priority="1790" operator="equal">
      <formula>1</formula>
    </cfRule>
  </conditionalFormatting>
  <conditionalFormatting sqref="N23">
    <cfRule type="cellIs" dxfId="1154" priority="1787" operator="equal">
      <formula>1</formula>
    </cfRule>
  </conditionalFormatting>
  <conditionalFormatting sqref="N8">
    <cfRule type="cellIs" dxfId="1153" priority="1782" operator="equal">
      <formula>1</formula>
    </cfRule>
  </conditionalFormatting>
  <conditionalFormatting sqref="N8">
    <cfRule type="cellIs" dxfId="1152" priority="1783" operator="equal">
      <formula>1</formula>
    </cfRule>
  </conditionalFormatting>
  <conditionalFormatting sqref="N8">
    <cfRule type="cellIs" dxfId="1151" priority="1784" operator="equal">
      <formula>1</formula>
    </cfRule>
  </conditionalFormatting>
  <conditionalFormatting sqref="N8">
    <cfRule type="cellIs" dxfId="1150" priority="1785" operator="equal">
      <formula>1</formula>
    </cfRule>
  </conditionalFormatting>
  <conditionalFormatting sqref="N20 N26">
    <cfRule type="cellIs" dxfId="1149" priority="1786" operator="equal">
      <formula>1</formula>
    </cfRule>
  </conditionalFormatting>
  <conditionalFormatting sqref="N8:N10 N12:N16 N57 N59 N20 N53">
    <cfRule type="cellIs" dxfId="1148" priority="1781" operator="equal">
      <formula>1</formula>
    </cfRule>
  </conditionalFormatting>
  <conditionalFormatting sqref="N22">
    <cfRule type="cellIs" dxfId="1147" priority="1780" operator="equal">
      <formula>1</formula>
    </cfRule>
  </conditionalFormatting>
  <conditionalFormatting sqref="N58">
    <cfRule type="cellIs" dxfId="1146" priority="1765" operator="equal">
      <formula>1</formula>
    </cfRule>
  </conditionalFormatting>
  <conditionalFormatting sqref="N58">
    <cfRule type="cellIs" dxfId="1145" priority="1766" operator="equal">
      <formula>1</formula>
    </cfRule>
  </conditionalFormatting>
  <conditionalFormatting sqref="N19">
    <cfRule type="cellIs" dxfId="1144" priority="1779" operator="equal">
      <formula>1</formula>
    </cfRule>
  </conditionalFormatting>
  <conditionalFormatting sqref="N55">
    <cfRule type="cellIs" dxfId="1143" priority="1774" operator="equal">
      <formula>1</formula>
    </cfRule>
  </conditionalFormatting>
  <conditionalFormatting sqref="N55">
    <cfRule type="cellIs" dxfId="1142" priority="1775" operator="equal">
      <formula>1</formula>
    </cfRule>
  </conditionalFormatting>
  <conditionalFormatting sqref="N55">
    <cfRule type="cellIs" dxfId="1141" priority="1776" operator="equal">
      <formula>1</formula>
    </cfRule>
  </conditionalFormatting>
  <conditionalFormatting sqref="N55">
    <cfRule type="cellIs" dxfId="1140" priority="1777" operator="equal">
      <formula>1</formula>
    </cfRule>
  </conditionalFormatting>
  <conditionalFormatting sqref="N55">
    <cfRule type="cellIs" dxfId="1139" priority="1778" operator="equal">
      <formula>1</formula>
    </cfRule>
  </conditionalFormatting>
  <conditionalFormatting sqref="N42">
    <cfRule type="cellIs" dxfId="1138" priority="1772" operator="equal">
      <formula>1</formula>
    </cfRule>
  </conditionalFormatting>
  <conditionalFormatting sqref="N42">
    <cfRule type="cellIs" dxfId="1137" priority="1773" operator="equal">
      <formula>1</formula>
    </cfRule>
  </conditionalFormatting>
  <conditionalFormatting sqref="N56">
    <cfRule type="cellIs" dxfId="1136" priority="1767" operator="equal">
      <formula>1</formula>
    </cfRule>
  </conditionalFormatting>
  <conditionalFormatting sqref="N56">
    <cfRule type="cellIs" dxfId="1135" priority="1768" operator="equal">
      <formula>1</formula>
    </cfRule>
  </conditionalFormatting>
  <conditionalFormatting sqref="N56">
    <cfRule type="cellIs" dxfId="1134" priority="1769" operator="equal">
      <formula>1</formula>
    </cfRule>
  </conditionalFormatting>
  <conditionalFormatting sqref="N56">
    <cfRule type="cellIs" dxfId="1133" priority="1770" operator="equal">
      <formula>1</formula>
    </cfRule>
  </conditionalFormatting>
  <conditionalFormatting sqref="N56">
    <cfRule type="cellIs" dxfId="1132" priority="1771" operator="equal">
      <formula>1</formula>
    </cfRule>
  </conditionalFormatting>
  <conditionalFormatting sqref="N28:N30">
    <cfRule type="cellIs" dxfId="1131" priority="1764" operator="equal">
      <formula>1</formula>
    </cfRule>
  </conditionalFormatting>
  <conditionalFormatting sqref="N52">
    <cfRule type="cellIs" dxfId="1130" priority="1763" operator="equal">
      <formula>1</formula>
    </cfRule>
  </conditionalFormatting>
  <conditionalFormatting sqref="N52">
    <cfRule type="cellIs" dxfId="1129" priority="1762" operator="equal">
      <formula>1</formula>
    </cfRule>
  </conditionalFormatting>
  <conditionalFormatting sqref="N36">
    <cfRule type="cellIs" dxfId="1128" priority="1761" operator="equal">
      <formula>1</formula>
    </cfRule>
  </conditionalFormatting>
  <conditionalFormatting sqref="N36">
    <cfRule type="cellIs" dxfId="1127" priority="1760" operator="equal">
      <formula>1</formula>
    </cfRule>
  </conditionalFormatting>
  <conditionalFormatting sqref="N54">
    <cfRule type="cellIs" dxfId="1126" priority="1755" operator="equal">
      <formula>1</formula>
    </cfRule>
  </conditionalFormatting>
  <conditionalFormatting sqref="N54">
    <cfRule type="cellIs" dxfId="1125" priority="1756" operator="equal">
      <formula>1</formula>
    </cfRule>
  </conditionalFormatting>
  <conditionalFormatting sqref="N54">
    <cfRule type="cellIs" dxfId="1124" priority="1757" operator="equal">
      <formula>1</formula>
    </cfRule>
  </conditionalFormatting>
  <conditionalFormatting sqref="N54">
    <cfRule type="cellIs" dxfId="1123" priority="1758" operator="equal">
      <formula>1</formula>
    </cfRule>
  </conditionalFormatting>
  <conditionalFormatting sqref="N54">
    <cfRule type="cellIs" dxfId="1122" priority="1759" operator="equal">
      <formula>1</formula>
    </cfRule>
  </conditionalFormatting>
  <conditionalFormatting sqref="N17">
    <cfRule type="cellIs" dxfId="1121" priority="1754" operator="equal">
      <formula>1</formula>
    </cfRule>
  </conditionalFormatting>
  <conditionalFormatting sqref="N17">
    <cfRule type="cellIs" dxfId="1120" priority="1753" operator="equal">
      <formula>1</formula>
    </cfRule>
  </conditionalFormatting>
  <conditionalFormatting sqref="N49">
    <cfRule type="cellIs" dxfId="1119" priority="1752" operator="equal">
      <formula>1</formula>
    </cfRule>
  </conditionalFormatting>
  <conditionalFormatting sqref="N80:N81">
    <cfRule type="cellIs" dxfId="1118" priority="1745" operator="equal">
      <formula>1</formula>
    </cfRule>
  </conditionalFormatting>
  <conditionalFormatting sqref="N75">
    <cfRule type="cellIs" dxfId="1117" priority="1744" operator="equal">
      <formula>1</formula>
    </cfRule>
  </conditionalFormatting>
  <conditionalFormatting sqref="N79">
    <cfRule type="cellIs" dxfId="1116" priority="1741" operator="equal">
      <formula>1</formula>
    </cfRule>
  </conditionalFormatting>
  <conditionalFormatting sqref="N21">
    <cfRule type="cellIs" dxfId="1115" priority="1740" operator="equal">
      <formula>1</formula>
    </cfRule>
  </conditionalFormatting>
  <conditionalFormatting sqref="N68">
    <cfRule type="cellIs" dxfId="1114" priority="1737" operator="equal">
      <formula>1</formula>
    </cfRule>
  </conditionalFormatting>
  <conditionalFormatting sqref="N6">
    <cfRule type="cellIs" dxfId="1113" priority="1736" operator="equal">
      <formula>1</formula>
    </cfRule>
  </conditionalFormatting>
  <conditionalFormatting sqref="N27">
    <cfRule type="cellIs" dxfId="1112" priority="1735" operator="equal">
      <formula>1</formula>
    </cfRule>
  </conditionalFormatting>
  <conditionalFormatting sqref="N69:N72">
    <cfRule type="colorScale" priority="1808">
      <colorScale>
        <cfvo type="num" val="1"/>
        <cfvo type="num" val="10"/>
        <color rgb="FF00B050"/>
        <color rgb="FFFFEF9C"/>
      </colorScale>
    </cfRule>
    <cfRule type="colorScale" priority="1809">
      <colorScale>
        <cfvo type="num" val="2"/>
        <cfvo type="max"/>
        <color rgb="FF0070C0"/>
        <color rgb="FFFFEF9C"/>
      </colorScale>
    </cfRule>
  </conditionalFormatting>
  <conditionalFormatting sqref="N68">
    <cfRule type="colorScale" priority="1814">
      <colorScale>
        <cfvo type="num" val="1"/>
        <cfvo type="num" val="10"/>
        <color rgb="FF00B050"/>
        <color rgb="FFFFEF9C"/>
      </colorScale>
    </cfRule>
    <cfRule type="colorScale" priority="1815">
      <colorScale>
        <cfvo type="num" val="2"/>
        <cfvo type="max"/>
        <color rgb="FF0070C0"/>
        <color rgb="FFFFEF9C"/>
      </colorScale>
    </cfRule>
  </conditionalFormatting>
  <conditionalFormatting sqref="N50">
    <cfRule type="cellIs" dxfId="1111" priority="1734" operator="equal">
      <formula>1</formula>
    </cfRule>
  </conditionalFormatting>
  <conditionalFormatting sqref="N78">
    <cfRule type="cellIs" dxfId="1110" priority="1731" operator="equal">
      <formula>1</formula>
    </cfRule>
  </conditionalFormatting>
  <conditionalFormatting sqref="N78">
    <cfRule type="colorScale" priority="1732">
      <colorScale>
        <cfvo type="num" val="1"/>
        <cfvo type="num" val="10"/>
        <color rgb="FF00B050"/>
        <color rgb="FFFFEF9C"/>
      </colorScale>
    </cfRule>
    <cfRule type="colorScale" priority="1733">
      <colorScale>
        <cfvo type="num" val="2"/>
        <cfvo type="max"/>
        <color rgb="FF0070C0"/>
        <color rgb="FFFFEF9C"/>
      </colorScale>
    </cfRule>
  </conditionalFormatting>
  <conditionalFormatting sqref="N11">
    <cfRule type="cellIs" dxfId="1109" priority="1724" operator="equal">
      <formula>1</formula>
    </cfRule>
  </conditionalFormatting>
  <conditionalFormatting sqref="N11">
    <cfRule type="cellIs" dxfId="1108" priority="1720" operator="equal">
      <formula>1</formula>
    </cfRule>
  </conditionalFormatting>
  <conditionalFormatting sqref="N11">
    <cfRule type="cellIs" dxfId="1107" priority="1721" operator="equal">
      <formula>1</formula>
    </cfRule>
  </conditionalFormatting>
  <conditionalFormatting sqref="N11">
    <cfRule type="cellIs" dxfId="1106" priority="1722" operator="equal">
      <formula>1</formula>
    </cfRule>
  </conditionalFormatting>
  <conditionalFormatting sqref="N11">
    <cfRule type="cellIs" dxfId="1105" priority="1723" operator="equal">
      <formula>1</formula>
    </cfRule>
  </conditionalFormatting>
  <conditionalFormatting sqref="N11">
    <cfRule type="cellIs" dxfId="1104" priority="1719" operator="equal">
      <formula>1</formula>
    </cfRule>
  </conditionalFormatting>
  <conditionalFormatting sqref="N32">
    <cfRule type="cellIs" dxfId="1103" priority="1718" operator="equal">
      <formula>1</formula>
    </cfRule>
  </conditionalFormatting>
  <conditionalFormatting sqref="N60">
    <cfRule type="cellIs" dxfId="1102" priority="1716" operator="equal">
      <formula>1</formula>
    </cfRule>
  </conditionalFormatting>
  <conditionalFormatting sqref="N73:N74">
    <cfRule type="colorScale" priority="1822">
      <colorScale>
        <cfvo type="num" val="1"/>
        <cfvo type="num" val="10"/>
        <color rgb="FF00B050"/>
        <color rgb="FFFFEF9C"/>
      </colorScale>
    </cfRule>
    <cfRule type="colorScale" priority="1823">
      <colorScale>
        <cfvo type="num" val="2"/>
        <cfvo type="max"/>
        <color rgb="FF0070C0"/>
        <color rgb="FFFFEF9C"/>
      </colorScale>
    </cfRule>
  </conditionalFormatting>
  <conditionalFormatting sqref="N18">
    <cfRule type="cellIs" dxfId="1101" priority="1706" operator="equal">
      <formula>1</formula>
    </cfRule>
  </conditionalFormatting>
  <conditionalFormatting sqref="N18">
    <cfRule type="cellIs" dxfId="1100" priority="1705" operator="equal">
      <formula>1</formula>
    </cfRule>
  </conditionalFormatting>
  <conditionalFormatting sqref="N77">
    <cfRule type="cellIs" dxfId="1099" priority="1702" operator="equal">
      <formula>1</formula>
    </cfRule>
  </conditionalFormatting>
  <conditionalFormatting sqref="N77">
    <cfRule type="colorScale" priority="1703">
      <colorScale>
        <cfvo type="num" val="1"/>
        <cfvo type="num" val="10"/>
        <color rgb="FF00B050"/>
        <color rgb="FFFFEF9C"/>
      </colorScale>
    </cfRule>
    <cfRule type="colorScale" priority="1704">
      <colorScale>
        <cfvo type="num" val="2"/>
        <cfvo type="max"/>
        <color rgb="FF0070C0"/>
        <color rgb="FFFFEF9C"/>
      </colorScale>
    </cfRule>
  </conditionalFormatting>
  <conditionalFormatting sqref="N76">
    <cfRule type="cellIs" dxfId="1098" priority="1699" operator="equal">
      <formula>1</formula>
    </cfRule>
  </conditionalFormatting>
  <conditionalFormatting sqref="N76">
    <cfRule type="colorScale" priority="1700">
      <colorScale>
        <cfvo type="num" val="1"/>
        <cfvo type="num" val="10"/>
        <color rgb="FF00B050"/>
        <color rgb="FFFFEF9C"/>
      </colorScale>
    </cfRule>
    <cfRule type="colorScale" priority="1701">
      <colorScale>
        <cfvo type="num" val="2"/>
        <cfvo type="max"/>
        <color rgb="FF0070C0"/>
        <color rgb="FFFFEF9C"/>
      </colorScale>
    </cfRule>
  </conditionalFormatting>
  <conditionalFormatting sqref="N31">
    <cfRule type="cellIs" dxfId="1097" priority="1698" operator="equal">
      <formula>1</formula>
    </cfRule>
  </conditionalFormatting>
  <conditionalFormatting sqref="N31">
    <cfRule type="cellIs" dxfId="1096" priority="1697" operator="equal">
      <formula>1</formula>
    </cfRule>
  </conditionalFormatting>
  <conditionalFormatting sqref="N33">
    <cfRule type="cellIs" dxfId="1095" priority="1696" operator="equal">
      <formula>1</formula>
    </cfRule>
  </conditionalFormatting>
  <conditionalFormatting sqref="N33">
    <cfRule type="cellIs" dxfId="1094" priority="1695" operator="equal">
      <formula>1</formula>
    </cfRule>
  </conditionalFormatting>
  <conditionalFormatting sqref="N82">
    <cfRule type="cellIs" dxfId="1093" priority="1694" operator="equal">
      <formula>1</formula>
    </cfRule>
  </conditionalFormatting>
  <conditionalFormatting sqref="N84:N86">
    <cfRule type="cellIs" dxfId="1092" priority="1691" operator="equal">
      <formula>1</formula>
    </cfRule>
  </conditionalFormatting>
  <conditionalFormatting sqref="N83">
    <cfRule type="cellIs" dxfId="1091" priority="1690" operator="equal">
      <formula>1</formula>
    </cfRule>
  </conditionalFormatting>
  <conditionalFormatting sqref="N83">
    <cfRule type="cellIs" dxfId="1090" priority="1689" operator="equal">
      <formula>1</formula>
    </cfRule>
  </conditionalFormatting>
  <conditionalFormatting sqref="N84:N86 N82">
    <cfRule type="colorScale" priority="1692">
      <colorScale>
        <cfvo type="num" val="1"/>
        <cfvo type="num" val="10"/>
        <color rgb="FF00B050"/>
        <color rgb="FFFFEF9C"/>
      </colorScale>
    </cfRule>
    <cfRule type="colorScale" priority="1693">
      <colorScale>
        <cfvo type="num" val="2"/>
        <cfvo type="max"/>
        <color rgb="FF0070C0"/>
        <color rgb="FFFFEF9C"/>
      </colorScale>
    </cfRule>
  </conditionalFormatting>
  <conditionalFormatting sqref="O55">
    <cfRule type="cellIs" dxfId="1089" priority="1635" operator="equal">
      <formula>1</formula>
    </cfRule>
  </conditionalFormatting>
  <conditionalFormatting sqref="N5">
    <cfRule type="cellIs" dxfId="1088" priority="1688" operator="equal">
      <formula>1</formula>
    </cfRule>
  </conditionalFormatting>
  <conditionalFormatting sqref="O55">
    <cfRule type="cellIs" dxfId="1087" priority="1634" operator="equal">
      <formula>1</formula>
    </cfRule>
  </conditionalFormatting>
  <conditionalFormatting sqref="N5">
    <cfRule type="cellIs" dxfId="1086" priority="1687" operator="equal">
      <formula>1</formula>
    </cfRule>
  </conditionalFormatting>
  <conditionalFormatting sqref="N39">
    <cfRule type="cellIs" dxfId="1085" priority="1686" operator="equal">
      <formula>1</formula>
    </cfRule>
  </conditionalFormatting>
  <conditionalFormatting sqref="N39">
    <cfRule type="cellIs" dxfId="1084" priority="1685" operator="equal">
      <formula>1</formula>
    </cfRule>
  </conditionalFormatting>
  <conditionalFormatting sqref="O25:O26 O40:O41">
    <cfRule type="cellIs" dxfId="1083" priority="1684" operator="equal">
      <formula>1</formula>
    </cfRule>
  </conditionalFormatting>
  <conditionalFormatting sqref="O69:O74">
    <cfRule type="cellIs" dxfId="1082" priority="1679" operator="equal">
      <formula>1</formula>
    </cfRule>
  </conditionalFormatting>
  <conditionalFormatting sqref="O51">
    <cfRule type="cellIs" dxfId="1081" priority="1678" operator="equal">
      <formula>1</formula>
    </cfRule>
  </conditionalFormatting>
  <conditionalFormatting sqref="O37:O38 O43:O48">
    <cfRule type="cellIs" dxfId="1080" priority="1676" operator="equal">
      <formula>1</formula>
    </cfRule>
  </conditionalFormatting>
  <conditionalFormatting sqref="O65:O67">
    <cfRule type="cellIs" dxfId="1079" priority="1667" operator="equal">
      <formula>1</formula>
    </cfRule>
  </conditionalFormatting>
  <conditionalFormatting sqref="O34:O35">
    <cfRule type="cellIs" dxfId="1078" priority="1666" operator="equal">
      <formula>1</formula>
    </cfRule>
  </conditionalFormatting>
  <conditionalFormatting sqref="O10">
    <cfRule type="cellIs" dxfId="1077" priority="1653" operator="equal">
      <formula>1</formula>
    </cfRule>
  </conditionalFormatting>
  <conditionalFormatting sqref="O40">
    <cfRule type="cellIs" dxfId="1076" priority="1654" operator="equal">
      <formula>1</formula>
    </cfRule>
  </conditionalFormatting>
  <conditionalFormatting sqref="O44">
    <cfRule type="cellIs" dxfId="1075" priority="1655" operator="equal">
      <formula>1</formula>
    </cfRule>
  </conditionalFormatting>
  <conditionalFormatting sqref="O59">
    <cfRule type="cellIs" dxfId="1074" priority="1656" operator="equal">
      <formula>1</formula>
    </cfRule>
  </conditionalFormatting>
  <conditionalFormatting sqref="O12">
    <cfRule type="cellIs" dxfId="1073" priority="1657" operator="equal">
      <formula>1</formula>
    </cfRule>
  </conditionalFormatting>
  <conditionalFormatting sqref="O25">
    <cfRule type="cellIs" dxfId="1072" priority="1658" operator="equal">
      <formula>1</formula>
    </cfRule>
  </conditionalFormatting>
  <conditionalFormatting sqref="O13">
    <cfRule type="cellIs" dxfId="1071" priority="1659" operator="equal">
      <formula>1</formula>
    </cfRule>
  </conditionalFormatting>
  <conditionalFormatting sqref="O14">
    <cfRule type="cellIs" dxfId="1070" priority="1660" operator="equal">
      <formula>1</formula>
    </cfRule>
  </conditionalFormatting>
  <conditionalFormatting sqref="O57">
    <cfRule type="cellIs" dxfId="1069" priority="1661" operator="equal">
      <formula>1</formula>
    </cfRule>
  </conditionalFormatting>
  <conditionalFormatting sqref="O57">
    <cfRule type="cellIs" dxfId="1068" priority="1662" operator="equal">
      <formula>1</formula>
    </cfRule>
  </conditionalFormatting>
  <conditionalFormatting sqref="O38">
    <cfRule type="cellIs" dxfId="1067" priority="1663" operator="equal">
      <formula>1</formula>
    </cfRule>
  </conditionalFormatting>
  <conditionalFormatting sqref="O23">
    <cfRule type="cellIs" dxfId="1066" priority="1664" operator="equal">
      <formula>1</formula>
    </cfRule>
  </conditionalFormatting>
  <conditionalFormatting sqref="O8">
    <cfRule type="cellIs" dxfId="1065" priority="1665" operator="equal">
      <formula>1</formula>
    </cfRule>
  </conditionalFormatting>
  <conditionalFormatting sqref="O9">
    <cfRule type="cellIs" dxfId="1064" priority="1652" operator="equal">
      <formula>1</formula>
    </cfRule>
  </conditionalFormatting>
  <conditionalFormatting sqref="O15:O16">
    <cfRule type="cellIs" dxfId="1063" priority="1651" operator="equal">
      <formula>1</formula>
    </cfRule>
  </conditionalFormatting>
  <conditionalFormatting sqref="O26 O20">
    <cfRule type="cellIs" dxfId="1062" priority="1648" operator="equal">
      <formula>1</formula>
    </cfRule>
  </conditionalFormatting>
  <conditionalFormatting sqref="O43">
    <cfRule type="cellIs" dxfId="1061" priority="1649" operator="equal">
      <formula>1</formula>
    </cfRule>
  </conditionalFormatting>
  <conditionalFormatting sqref="O26">
    <cfRule type="cellIs" dxfId="1060" priority="1650" operator="equal">
      <formula>1</formula>
    </cfRule>
  </conditionalFormatting>
  <conditionalFormatting sqref="O23">
    <cfRule type="cellIs" dxfId="1059" priority="1647" operator="equal">
      <formula>1</formula>
    </cfRule>
  </conditionalFormatting>
  <conditionalFormatting sqref="O8">
    <cfRule type="cellIs" dxfId="1058" priority="1642" operator="equal">
      <formula>1</formula>
    </cfRule>
  </conditionalFormatting>
  <conditionalFormatting sqref="O8">
    <cfRule type="cellIs" dxfId="1057" priority="1643" operator="equal">
      <formula>1</formula>
    </cfRule>
  </conditionalFormatting>
  <conditionalFormatting sqref="O8">
    <cfRule type="cellIs" dxfId="1056" priority="1644" operator="equal">
      <formula>1</formula>
    </cfRule>
  </conditionalFormatting>
  <conditionalFormatting sqref="O8">
    <cfRule type="cellIs" dxfId="1055" priority="1645" operator="equal">
      <formula>1</formula>
    </cfRule>
  </conditionalFormatting>
  <conditionalFormatting sqref="O20 O26">
    <cfRule type="cellIs" dxfId="1054" priority="1646" operator="equal">
      <formula>1</formula>
    </cfRule>
  </conditionalFormatting>
  <conditionalFormatting sqref="O8:O10 O12:O16 O57 O59 O20 O53">
    <cfRule type="cellIs" dxfId="1053" priority="1641" operator="equal">
      <formula>1</formula>
    </cfRule>
  </conditionalFormatting>
  <conditionalFormatting sqref="O22">
    <cfRule type="cellIs" dxfId="1052" priority="1640" operator="equal">
      <formula>1</formula>
    </cfRule>
  </conditionalFormatting>
  <conditionalFormatting sqref="O58">
    <cfRule type="cellIs" dxfId="1051" priority="1625" operator="equal">
      <formula>1</formula>
    </cfRule>
  </conditionalFormatting>
  <conditionalFormatting sqref="O58">
    <cfRule type="cellIs" dxfId="1050" priority="1626" operator="equal">
      <formula>1</formula>
    </cfRule>
  </conditionalFormatting>
  <conditionalFormatting sqref="O19">
    <cfRule type="cellIs" dxfId="1049" priority="1639" operator="equal">
      <formula>1</formula>
    </cfRule>
  </conditionalFormatting>
  <conditionalFormatting sqref="O55">
    <cfRule type="cellIs" dxfId="1048" priority="1636" operator="equal">
      <formula>1</formula>
    </cfRule>
  </conditionalFormatting>
  <conditionalFormatting sqref="O55">
    <cfRule type="cellIs" dxfId="1047" priority="1637" operator="equal">
      <formula>1</formula>
    </cfRule>
  </conditionalFormatting>
  <conditionalFormatting sqref="O55">
    <cfRule type="cellIs" dxfId="1046" priority="1638" operator="equal">
      <formula>1</formula>
    </cfRule>
  </conditionalFormatting>
  <conditionalFormatting sqref="O42">
    <cfRule type="cellIs" dxfId="1045" priority="1632" operator="equal">
      <formula>1</formula>
    </cfRule>
  </conditionalFormatting>
  <conditionalFormatting sqref="O42">
    <cfRule type="cellIs" dxfId="1044" priority="1633" operator="equal">
      <formula>1</formula>
    </cfRule>
  </conditionalFormatting>
  <conditionalFormatting sqref="O56">
    <cfRule type="cellIs" dxfId="1043" priority="1627" operator="equal">
      <formula>1</formula>
    </cfRule>
  </conditionalFormatting>
  <conditionalFormatting sqref="O56">
    <cfRule type="cellIs" dxfId="1042" priority="1628" operator="equal">
      <formula>1</formula>
    </cfRule>
  </conditionalFormatting>
  <conditionalFormatting sqref="O56">
    <cfRule type="cellIs" dxfId="1041" priority="1629" operator="equal">
      <formula>1</formula>
    </cfRule>
  </conditionalFormatting>
  <conditionalFormatting sqref="O56">
    <cfRule type="cellIs" dxfId="1040" priority="1630" operator="equal">
      <formula>1</formula>
    </cfRule>
  </conditionalFormatting>
  <conditionalFormatting sqref="O56">
    <cfRule type="cellIs" dxfId="1039" priority="1631" operator="equal">
      <formula>1</formula>
    </cfRule>
  </conditionalFormatting>
  <conditionalFormatting sqref="O28:O30">
    <cfRule type="cellIs" dxfId="1038" priority="1624" operator="equal">
      <formula>1</formula>
    </cfRule>
  </conditionalFormatting>
  <conditionalFormatting sqref="O52">
    <cfRule type="cellIs" dxfId="1037" priority="1623" operator="equal">
      <formula>1</formula>
    </cfRule>
  </conditionalFormatting>
  <conditionalFormatting sqref="O52">
    <cfRule type="cellIs" dxfId="1036" priority="1622" operator="equal">
      <formula>1</formula>
    </cfRule>
  </conditionalFormatting>
  <conditionalFormatting sqref="O36">
    <cfRule type="cellIs" dxfId="1035" priority="1621" operator="equal">
      <formula>1</formula>
    </cfRule>
  </conditionalFormatting>
  <conditionalFormatting sqref="O36">
    <cfRule type="cellIs" dxfId="1034" priority="1620" operator="equal">
      <formula>1</formula>
    </cfRule>
  </conditionalFormatting>
  <conditionalFormatting sqref="O54">
    <cfRule type="cellIs" dxfId="1033" priority="1615" operator="equal">
      <formula>1</formula>
    </cfRule>
  </conditionalFormatting>
  <conditionalFormatting sqref="O54">
    <cfRule type="cellIs" dxfId="1032" priority="1616" operator="equal">
      <formula>1</formula>
    </cfRule>
  </conditionalFormatting>
  <conditionalFormatting sqref="O54">
    <cfRule type="cellIs" dxfId="1031" priority="1617" operator="equal">
      <formula>1</formula>
    </cfRule>
  </conditionalFormatting>
  <conditionalFormatting sqref="O54">
    <cfRule type="cellIs" dxfId="1030" priority="1618" operator="equal">
      <formula>1</formula>
    </cfRule>
  </conditionalFormatting>
  <conditionalFormatting sqref="O54">
    <cfRule type="cellIs" dxfId="1029" priority="1619" operator="equal">
      <formula>1</formula>
    </cfRule>
  </conditionalFormatting>
  <conditionalFormatting sqref="O17">
    <cfRule type="cellIs" dxfId="1028" priority="1614" operator="equal">
      <formula>1</formula>
    </cfRule>
  </conditionalFormatting>
  <conditionalFormatting sqref="O17">
    <cfRule type="cellIs" dxfId="1027" priority="1613" operator="equal">
      <formula>1</formula>
    </cfRule>
  </conditionalFormatting>
  <conditionalFormatting sqref="O49">
    <cfRule type="cellIs" dxfId="1026" priority="1612" operator="equal">
      <formula>1</formula>
    </cfRule>
  </conditionalFormatting>
  <conditionalFormatting sqref="O80:O81">
    <cfRule type="cellIs" dxfId="1025" priority="1605" operator="equal">
      <formula>1</formula>
    </cfRule>
  </conditionalFormatting>
  <conditionalFormatting sqref="O75">
    <cfRule type="cellIs" dxfId="1024" priority="1604" operator="equal">
      <formula>1</formula>
    </cfRule>
  </conditionalFormatting>
  <conditionalFormatting sqref="O79">
    <cfRule type="cellIs" dxfId="1023" priority="1601" operator="equal">
      <formula>1</formula>
    </cfRule>
  </conditionalFormatting>
  <conditionalFormatting sqref="O21">
    <cfRule type="cellIs" dxfId="1022" priority="1600" operator="equal">
      <formula>1</formula>
    </cfRule>
  </conditionalFormatting>
  <conditionalFormatting sqref="O68">
    <cfRule type="cellIs" dxfId="1021" priority="1597" operator="equal">
      <formula>1</formula>
    </cfRule>
  </conditionalFormatting>
  <conditionalFormatting sqref="O6">
    <cfRule type="cellIs" dxfId="1020" priority="1596" operator="equal">
      <formula>1</formula>
    </cfRule>
  </conditionalFormatting>
  <conditionalFormatting sqref="O27">
    <cfRule type="cellIs" dxfId="1019" priority="1595" operator="equal">
      <formula>1</formula>
    </cfRule>
  </conditionalFormatting>
  <conditionalFormatting sqref="O69:O72 O65:O67">
    <cfRule type="colorScale" priority="1668">
      <colorScale>
        <cfvo type="num" val="1"/>
        <cfvo type="num" val="10"/>
        <color rgb="FF00B050"/>
        <color rgb="FFFFEF9C"/>
      </colorScale>
    </cfRule>
    <cfRule type="colorScale" priority="1669">
      <colorScale>
        <cfvo type="num" val="2"/>
        <cfvo type="max"/>
        <color rgb="FF0070C0"/>
        <color rgb="FFFFEF9C"/>
      </colorScale>
    </cfRule>
  </conditionalFormatting>
  <conditionalFormatting sqref="O68">
    <cfRule type="colorScale" priority="1674">
      <colorScale>
        <cfvo type="num" val="1"/>
        <cfvo type="num" val="10"/>
        <color rgb="FF00B050"/>
        <color rgb="FFFFEF9C"/>
      </colorScale>
    </cfRule>
    <cfRule type="colorScale" priority="1675">
      <colorScale>
        <cfvo type="num" val="2"/>
        <cfvo type="max"/>
        <color rgb="FF0070C0"/>
        <color rgb="FFFFEF9C"/>
      </colorScale>
    </cfRule>
  </conditionalFormatting>
  <conditionalFormatting sqref="O50">
    <cfRule type="cellIs" dxfId="1018" priority="1594" operator="equal">
      <formula>1</formula>
    </cfRule>
  </conditionalFormatting>
  <conditionalFormatting sqref="O78">
    <cfRule type="cellIs" dxfId="1017" priority="1591" operator="equal">
      <formula>1</formula>
    </cfRule>
  </conditionalFormatting>
  <conditionalFormatting sqref="O78">
    <cfRule type="colorScale" priority="1592">
      <colorScale>
        <cfvo type="num" val="1"/>
        <cfvo type="num" val="10"/>
        <color rgb="FF00B050"/>
        <color rgb="FFFFEF9C"/>
      </colorScale>
    </cfRule>
    <cfRule type="colorScale" priority="1593">
      <colorScale>
        <cfvo type="num" val="2"/>
        <cfvo type="max"/>
        <color rgb="FF0070C0"/>
        <color rgb="FFFFEF9C"/>
      </colorScale>
    </cfRule>
  </conditionalFormatting>
  <conditionalFormatting sqref="O11">
    <cfRule type="cellIs" dxfId="1016" priority="1584" operator="equal">
      <formula>1</formula>
    </cfRule>
  </conditionalFormatting>
  <conditionalFormatting sqref="O11">
    <cfRule type="cellIs" dxfId="1015" priority="1580" operator="equal">
      <formula>1</formula>
    </cfRule>
  </conditionalFormatting>
  <conditionalFormatting sqref="O11">
    <cfRule type="cellIs" dxfId="1014" priority="1581" operator="equal">
      <formula>1</formula>
    </cfRule>
  </conditionalFormatting>
  <conditionalFormatting sqref="O11">
    <cfRule type="cellIs" dxfId="1013" priority="1582" operator="equal">
      <formula>1</formula>
    </cfRule>
  </conditionalFormatting>
  <conditionalFormatting sqref="O11">
    <cfRule type="cellIs" dxfId="1012" priority="1583" operator="equal">
      <formula>1</formula>
    </cfRule>
  </conditionalFormatting>
  <conditionalFormatting sqref="O11">
    <cfRule type="cellIs" dxfId="1011" priority="1579" operator="equal">
      <formula>1</formula>
    </cfRule>
  </conditionalFormatting>
  <conditionalFormatting sqref="O32">
    <cfRule type="cellIs" dxfId="1010" priority="1578" operator="equal">
      <formula>1</formula>
    </cfRule>
  </conditionalFormatting>
  <conditionalFormatting sqref="O60">
    <cfRule type="cellIs" dxfId="1009" priority="1576" operator="equal">
      <formula>1</formula>
    </cfRule>
  </conditionalFormatting>
  <conditionalFormatting sqref="O73:O74">
    <cfRule type="colorScale" priority="1682">
      <colorScale>
        <cfvo type="num" val="1"/>
        <cfvo type="num" val="10"/>
        <color rgb="FF00B050"/>
        <color rgb="FFFFEF9C"/>
      </colorScale>
    </cfRule>
    <cfRule type="colorScale" priority="1683">
      <colorScale>
        <cfvo type="num" val="2"/>
        <cfvo type="max"/>
        <color rgb="FF0070C0"/>
        <color rgb="FFFFEF9C"/>
      </colorScale>
    </cfRule>
  </conditionalFormatting>
  <conditionalFormatting sqref="O18">
    <cfRule type="cellIs" dxfId="1008" priority="1566" operator="equal">
      <formula>1</formula>
    </cfRule>
  </conditionalFormatting>
  <conditionalFormatting sqref="O18">
    <cfRule type="cellIs" dxfId="1007" priority="1565" operator="equal">
      <formula>1</formula>
    </cfRule>
  </conditionalFormatting>
  <conditionalFormatting sqref="O77">
    <cfRule type="cellIs" dxfId="1006" priority="1562" operator="equal">
      <formula>1</formula>
    </cfRule>
  </conditionalFormatting>
  <conditionalFormatting sqref="O77">
    <cfRule type="colorScale" priority="1563">
      <colorScale>
        <cfvo type="num" val="1"/>
        <cfvo type="num" val="10"/>
        <color rgb="FF00B050"/>
        <color rgb="FFFFEF9C"/>
      </colorScale>
    </cfRule>
    <cfRule type="colorScale" priority="1564">
      <colorScale>
        <cfvo type="num" val="2"/>
        <cfvo type="max"/>
        <color rgb="FF0070C0"/>
        <color rgb="FFFFEF9C"/>
      </colorScale>
    </cfRule>
  </conditionalFormatting>
  <conditionalFormatting sqref="O76">
    <cfRule type="cellIs" dxfId="1005" priority="1559" operator="equal">
      <formula>1</formula>
    </cfRule>
  </conditionalFormatting>
  <conditionalFormatting sqref="O76">
    <cfRule type="colorScale" priority="1560">
      <colorScale>
        <cfvo type="num" val="1"/>
        <cfvo type="num" val="10"/>
        <color rgb="FF00B050"/>
        <color rgb="FFFFEF9C"/>
      </colorScale>
    </cfRule>
    <cfRule type="colorScale" priority="1561">
      <colorScale>
        <cfvo type="num" val="2"/>
        <cfvo type="max"/>
        <color rgb="FF0070C0"/>
        <color rgb="FFFFEF9C"/>
      </colorScale>
    </cfRule>
  </conditionalFormatting>
  <conditionalFormatting sqref="O31">
    <cfRule type="cellIs" dxfId="1004" priority="1558" operator="equal">
      <formula>1</formula>
    </cfRule>
  </conditionalFormatting>
  <conditionalFormatting sqref="O31">
    <cfRule type="cellIs" dxfId="1003" priority="1557" operator="equal">
      <formula>1</formula>
    </cfRule>
  </conditionalFormatting>
  <conditionalFormatting sqref="O33">
    <cfRule type="cellIs" dxfId="1002" priority="1556" operator="equal">
      <formula>1</formula>
    </cfRule>
  </conditionalFormatting>
  <conditionalFormatting sqref="O33">
    <cfRule type="cellIs" dxfId="1001" priority="1555" operator="equal">
      <formula>1</formula>
    </cfRule>
  </conditionalFormatting>
  <conditionalFormatting sqref="O82">
    <cfRule type="cellIs" dxfId="1000" priority="1554" operator="equal">
      <formula>1</formula>
    </cfRule>
  </conditionalFormatting>
  <conditionalFormatting sqref="L8">
    <cfRule type="cellIs" dxfId="999" priority="782" operator="equal">
      <formula>1</formula>
    </cfRule>
  </conditionalFormatting>
  <conditionalFormatting sqref="H8">
    <cfRule type="cellIs" dxfId="998" priority="781" operator="equal">
      <formula>1</formula>
    </cfRule>
  </conditionalFormatting>
  <conditionalFormatting sqref="O83">
    <cfRule type="cellIs" dxfId="997" priority="1549" operator="equal">
      <formula>1</formula>
    </cfRule>
  </conditionalFormatting>
  <conditionalFormatting sqref="O84:O86 O82">
    <cfRule type="colorScale" priority="1552">
      <colorScale>
        <cfvo type="num" val="1"/>
        <cfvo type="num" val="10"/>
        <color rgb="FF00B050"/>
        <color rgb="FFFFEF9C"/>
      </colorScale>
    </cfRule>
    <cfRule type="colorScale" priority="1553">
      <colorScale>
        <cfvo type="num" val="2"/>
        <cfvo type="max"/>
        <color rgb="FF0070C0"/>
        <color rgb="FFFFEF9C"/>
      </colorScale>
    </cfRule>
  </conditionalFormatting>
  <conditionalFormatting sqref="O5">
    <cfRule type="cellIs" dxfId="996" priority="1548" operator="equal">
      <formula>1</formula>
    </cfRule>
  </conditionalFormatting>
  <conditionalFormatting sqref="O5">
    <cfRule type="cellIs" dxfId="995" priority="1547" operator="equal">
      <formula>1</formula>
    </cfRule>
  </conditionalFormatting>
  <conditionalFormatting sqref="O39">
    <cfRule type="cellIs" dxfId="994" priority="1546" operator="equal">
      <formula>1</formula>
    </cfRule>
  </conditionalFormatting>
  <conditionalFormatting sqref="O39">
    <cfRule type="cellIs" dxfId="993" priority="1545" operator="equal">
      <formula>1</formula>
    </cfRule>
  </conditionalFormatting>
  <conditionalFormatting sqref="K24:O24">
    <cfRule type="cellIs" dxfId="992" priority="1544" operator="equal">
      <formula>1</formula>
    </cfRule>
  </conditionalFormatting>
  <conditionalFormatting sqref="V84:V86">
    <cfRule type="cellIs" dxfId="991" priority="799" operator="equal">
      <formula>1</formula>
    </cfRule>
  </conditionalFormatting>
  <conditionalFormatting sqref="V83">
    <cfRule type="cellIs" dxfId="990" priority="798" operator="equal">
      <formula>1</formula>
    </cfRule>
  </conditionalFormatting>
  <conditionalFormatting sqref="P65:Q74 P25:Q25 P40:Q48">
    <cfRule type="cellIs" dxfId="989" priority="1537" operator="equal">
      <formula>1</formula>
    </cfRule>
  </conditionalFormatting>
  <conditionalFormatting sqref="P51:Q51">
    <cfRule type="cellIs" dxfId="988" priority="1536" operator="equal">
      <formula>1</formula>
    </cfRule>
  </conditionalFormatting>
  <conditionalFormatting sqref="P35:Q38">
    <cfRule type="cellIs" dxfId="987" priority="1535" operator="equal">
      <formula>1</formula>
    </cfRule>
  </conditionalFormatting>
  <conditionalFormatting sqref="P55:Q57 P31:Q33">
    <cfRule type="cellIs" dxfId="986" priority="1534" operator="equal">
      <formula>1</formula>
    </cfRule>
  </conditionalFormatting>
  <conditionalFormatting sqref="P59:Q59">
    <cfRule type="cellIs" dxfId="985" priority="1533" operator="equal">
      <formula>1</formula>
    </cfRule>
  </conditionalFormatting>
  <conditionalFormatting sqref="P5:Q23">
    <cfRule type="cellIs" dxfId="984" priority="1532" operator="equal">
      <formula>1</formula>
    </cfRule>
  </conditionalFormatting>
  <conditionalFormatting sqref="P75:Q78 P80:Q81">
    <cfRule type="cellIs" dxfId="983" priority="1531" operator="equal">
      <formula>1</formula>
    </cfRule>
  </conditionalFormatting>
  <conditionalFormatting sqref="P13:Q13">
    <cfRule type="cellIs" dxfId="982" priority="1529" operator="equal">
      <formula>1</formula>
    </cfRule>
  </conditionalFormatting>
  <conditionalFormatting sqref="P26:Q26">
    <cfRule type="cellIs" dxfId="981" priority="1527" operator="equal">
      <formula>1</formula>
    </cfRule>
  </conditionalFormatting>
  <conditionalFormatting sqref="P34:Q34">
    <cfRule type="cellIs" dxfId="980" priority="1528" operator="equal">
      <formula>1</formula>
    </cfRule>
  </conditionalFormatting>
  <conditionalFormatting sqref="P58:Q58">
    <cfRule type="cellIs" dxfId="979" priority="1526" operator="equal">
      <formula>1</formula>
    </cfRule>
  </conditionalFormatting>
  <conditionalFormatting sqref="P29:Q30">
    <cfRule type="cellIs" dxfId="978" priority="1525" operator="equal">
      <formula>1</formula>
    </cfRule>
  </conditionalFormatting>
  <conditionalFormatting sqref="P52:Q52">
    <cfRule type="cellIs" dxfId="977" priority="1524" operator="equal">
      <formula>1</formula>
    </cfRule>
  </conditionalFormatting>
  <conditionalFormatting sqref="P54:Q54">
    <cfRule type="cellIs" dxfId="976" priority="1523" operator="equal">
      <formula>1</formula>
    </cfRule>
  </conditionalFormatting>
  <conditionalFormatting sqref="P24:Q24">
    <cfRule type="cellIs" dxfId="975" priority="1522" operator="equal">
      <formula>1</formula>
    </cfRule>
  </conditionalFormatting>
  <conditionalFormatting sqref="P27:Q28">
    <cfRule type="cellIs" dxfId="974" priority="1521" operator="equal">
      <formula>1</formula>
    </cfRule>
  </conditionalFormatting>
  <conditionalFormatting sqref="P49:Q49">
    <cfRule type="cellIs" dxfId="973" priority="1520" operator="equal">
      <formula>1</formula>
    </cfRule>
  </conditionalFormatting>
  <conditionalFormatting sqref="P79:Q79">
    <cfRule type="cellIs" dxfId="972" priority="1519" operator="equal">
      <formula>1</formula>
    </cfRule>
  </conditionalFormatting>
  <conditionalFormatting sqref="P50:Q50">
    <cfRule type="cellIs" dxfId="971" priority="1517" operator="equal">
      <formula>1</formula>
    </cfRule>
  </conditionalFormatting>
  <conditionalFormatting sqref="P53:Q53">
    <cfRule type="cellIs" dxfId="970" priority="1507" operator="equal">
      <formula>1</formula>
    </cfRule>
  </conditionalFormatting>
  <conditionalFormatting sqref="P73:Q78">
    <cfRule type="colorScale" priority="1540">
      <colorScale>
        <cfvo type="num" val="1"/>
        <cfvo type="num" val="10"/>
        <color rgb="FF00B050"/>
        <color rgb="FFFFEF9C"/>
      </colorScale>
    </cfRule>
    <cfRule type="colorScale" priority="1541">
      <colorScale>
        <cfvo type="num" val="2"/>
        <cfvo type="max"/>
        <color rgb="FF0070C0"/>
        <color rgb="FFFFEF9C"/>
      </colorScale>
    </cfRule>
  </conditionalFormatting>
  <conditionalFormatting sqref="P82:Q83">
    <cfRule type="cellIs" dxfId="969" priority="1492" operator="equal">
      <formula>1</formula>
    </cfRule>
  </conditionalFormatting>
  <conditionalFormatting sqref="P84:Q86">
    <cfRule type="cellIs" dxfId="968" priority="1491" operator="equal">
      <formula>1</formula>
    </cfRule>
  </conditionalFormatting>
  <conditionalFormatting sqref="P82:Q86">
    <cfRule type="colorScale" priority="1493">
      <colorScale>
        <cfvo type="num" val="1"/>
        <cfvo type="num" val="10"/>
        <color rgb="FF00B050"/>
        <color rgb="FFFFEF9C"/>
      </colorScale>
    </cfRule>
    <cfRule type="colorScale" priority="1494">
      <colorScale>
        <cfvo type="num" val="2"/>
        <cfvo type="max"/>
        <color rgb="FF0070C0"/>
        <color rgb="FFFFEF9C"/>
      </colorScale>
    </cfRule>
  </conditionalFormatting>
  <conditionalFormatting sqref="P39:Q39">
    <cfRule type="cellIs" dxfId="967" priority="1490" operator="equal">
      <formula>1</formula>
    </cfRule>
  </conditionalFormatting>
  <conditionalFormatting sqref="R69:R74 R25:T26 R40:T41">
    <cfRule type="cellIs" dxfId="966" priority="1485" operator="equal">
      <formula>1</formula>
    </cfRule>
  </conditionalFormatting>
  <conditionalFormatting sqref="R51">
    <cfRule type="cellIs" dxfId="965" priority="1484" operator="equal">
      <formula>1</formula>
    </cfRule>
  </conditionalFormatting>
  <conditionalFormatting sqref="R37:R38 R43:R48">
    <cfRule type="cellIs" dxfId="964" priority="1482" operator="equal">
      <formula>1</formula>
    </cfRule>
  </conditionalFormatting>
  <conditionalFormatting sqref="R65:R67">
    <cfRule type="cellIs" dxfId="963" priority="1473" operator="equal">
      <formula>1</formula>
    </cfRule>
  </conditionalFormatting>
  <conditionalFormatting sqref="R34:R35">
    <cfRule type="cellIs" dxfId="962" priority="1472" operator="equal">
      <formula>1</formula>
    </cfRule>
  </conditionalFormatting>
  <conditionalFormatting sqref="R10">
    <cfRule type="cellIs" dxfId="961" priority="1459" operator="equal">
      <formula>1</formula>
    </cfRule>
  </conditionalFormatting>
  <conditionalFormatting sqref="R40">
    <cfRule type="cellIs" dxfId="960" priority="1460" operator="equal">
      <formula>1</formula>
    </cfRule>
  </conditionalFormatting>
  <conditionalFormatting sqref="R44">
    <cfRule type="cellIs" dxfId="959" priority="1461" operator="equal">
      <formula>1</formula>
    </cfRule>
  </conditionalFormatting>
  <conditionalFormatting sqref="R59">
    <cfRule type="cellIs" dxfId="958" priority="1462" operator="equal">
      <formula>1</formula>
    </cfRule>
  </conditionalFormatting>
  <conditionalFormatting sqref="R12">
    <cfRule type="cellIs" dxfId="957" priority="1463" operator="equal">
      <formula>1</formula>
    </cfRule>
  </conditionalFormatting>
  <conditionalFormatting sqref="R25">
    <cfRule type="cellIs" dxfId="956" priority="1464" operator="equal">
      <formula>1</formula>
    </cfRule>
  </conditionalFormatting>
  <conditionalFormatting sqref="R13">
    <cfRule type="cellIs" dxfId="955" priority="1465" operator="equal">
      <formula>1</formula>
    </cfRule>
  </conditionalFormatting>
  <conditionalFormatting sqref="R14">
    <cfRule type="cellIs" dxfId="954" priority="1466" operator="equal">
      <formula>1</formula>
    </cfRule>
  </conditionalFormatting>
  <conditionalFormatting sqref="R57">
    <cfRule type="cellIs" dxfId="953" priority="1467" operator="equal">
      <formula>1</formula>
    </cfRule>
  </conditionalFormatting>
  <conditionalFormatting sqref="R57">
    <cfRule type="cellIs" dxfId="952" priority="1468" operator="equal">
      <formula>1</formula>
    </cfRule>
  </conditionalFormatting>
  <conditionalFormatting sqref="R38">
    <cfRule type="cellIs" dxfId="951" priority="1469" operator="equal">
      <formula>1</formula>
    </cfRule>
  </conditionalFormatting>
  <conditionalFormatting sqref="R23">
    <cfRule type="cellIs" dxfId="950" priority="1470" operator="equal">
      <formula>1</formula>
    </cfRule>
  </conditionalFormatting>
  <conditionalFormatting sqref="R8">
    <cfRule type="cellIs" dxfId="949" priority="1471" operator="equal">
      <formula>1</formula>
    </cfRule>
  </conditionalFormatting>
  <conditionalFormatting sqref="R9">
    <cfRule type="cellIs" dxfId="948" priority="1458" operator="equal">
      <formula>1</formula>
    </cfRule>
  </conditionalFormatting>
  <conditionalFormatting sqref="R15:R16">
    <cfRule type="cellIs" dxfId="947" priority="1457" operator="equal">
      <formula>1</formula>
    </cfRule>
  </conditionalFormatting>
  <conditionalFormatting sqref="R26 R20">
    <cfRule type="cellIs" dxfId="946" priority="1454" operator="equal">
      <formula>1</formula>
    </cfRule>
  </conditionalFormatting>
  <conditionalFormatting sqref="R43">
    <cfRule type="cellIs" dxfId="945" priority="1455" operator="equal">
      <formula>1</formula>
    </cfRule>
  </conditionalFormatting>
  <conditionalFormatting sqref="R26">
    <cfRule type="cellIs" dxfId="944" priority="1456" operator="equal">
      <formula>1</formula>
    </cfRule>
  </conditionalFormatting>
  <conditionalFormatting sqref="R23">
    <cfRule type="cellIs" dxfId="943" priority="1453" operator="equal">
      <formula>1</formula>
    </cfRule>
  </conditionalFormatting>
  <conditionalFormatting sqref="R8">
    <cfRule type="cellIs" dxfId="942" priority="1448" operator="equal">
      <formula>1</formula>
    </cfRule>
  </conditionalFormatting>
  <conditionalFormatting sqref="R8">
    <cfRule type="cellIs" dxfId="941" priority="1449" operator="equal">
      <formula>1</formula>
    </cfRule>
  </conditionalFormatting>
  <conditionalFormatting sqref="R8">
    <cfRule type="cellIs" dxfId="940" priority="1450" operator="equal">
      <formula>1</formula>
    </cfRule>
  </conditionalFormatting>
  <conditionalFormatting sqref="R8">
    <cfRule type="cellIs" dxfId="939" priority="1451" operator="equal">
      <formula>1</formula>
    </cfRule>
  </conditionalFormatting>
  <conditionalFormatting sqref="R20 R26">
    <cfRule type="cellIs" dxfId="938" priority="1452" operator="equal">
      <formula>1</formula>
    </cfRule>
  </conditionalFormatting>
  <conditionalFormatting sqref="R8:R10 R12:R16 R57 R59 R20 R53">
    <cfRule type="cellIs" dxfId="937" priority="1447" operator="equal">
      <formula>1</formula>
    </cfRule>
  </conditionalFormatting>
  <conditionalFormatting sqref="R22">
    <cfRule type="cellIs" dxfId="936" priority="1446" operator="equal">
      <formula>1</formula>
    </cfRule>
  </conditionalFormatting>
  <conditionalFormatting sqref="R58">
    <cfRule type="cellIs" dxfId="935" priority="1431" operator="equal">
      <formula>1</formula>
    </cfRule>
  </conditionalFormatting>
  <conditionalFormatting sqref="R58">
    <cfRule type="cellIs" dxfId="934" priority="1432" operator="equal">
      <formula>1</formula>
    </cfRule>
  </conditionalFormatting>
  <conditionalFormatting sqref="R19">
    <cfRule type="cellIs" dxfId="933" priority="1445" operator="equal">
      <formula>1</formula>
    </cfRule>
  </conditionalFormatting>
  <conditionalFormatting sqref="R55">
    <cfRule type="cellIs" dxfId="932" priority="1440" operator="equal">
      <formula>1</formula>
    </cfRule>
  </conditionalFormatting>
  <conditionalFormatting sqref="R55">
    <cfRule type="cellIs" dxfId="931" priority="1441" operator="equal">
      <formula>1</formula>
    </cfRule>
  </conditionalFormatting>
  <conditionalFormatting sqref="R55">
    <cfRule type="cellIs" dxfId="930" priority="1442" operator="equal">
      <formula>1</formula>
    </cfRule>
  </conditionalFormatting>
  <conditionalFormatting sqref="R55">
    <cfRule type="cellIs" dxfId="929" priority="1443" operator="equal">
      <formula>1</formula>
    </cfRule>
  </conditionalFormatting>
  <conditionalFormatting sqref="R55">
    <cfRule type="cellIs" dxfId="928" priority="1444" operator="equal">
      <formula>1</formula>
    </cfRule>
  </conditionalFormatting>
  <conditionalFormatting sqref="R42">
    <cfRule type="cellIs" dxfId="927" priority="1438" operator="equal">
      <formula>1</formula>
    </cfRule>
  </conditionalFormatting>
  <conditionalFormatting sqref="R42">
    <cfRule type="cellIs" dxfId="926" priority="1439" operator="equal">
      <formula>1</formula>
    </cfRule>
  </conditionalFormatting>
  <conditionalFormatting sqref="R56">
    <cfRule type="cellIs" dxfId="925" priority="1433" operator="equal">
      <formula>1</formula>
    </cfRule>
  </conditionalFormatting>
  <conditionalFormatting sqref="R56">
    <cfRule type="cellIs" dxfId="924" priority="1434" operator="equal">
      <formula>1</formula>
    </cfRule>
  </conditionalFormatting>
  <conditionalFormatting sqref="R56">
    <cfRule type="cellIs" dxfId="923" priority="1435" operator="equal">
      <formula>1</formula>
    </cfRule>
  </conditionalFormatting>
  <conditionalFormatting sqref="R56">
    <cfRule type="cellIs" dxfId="922" priority="1436" operator="equal">
      <formula>1</formula>
    </cfRule>
  </conditionalFormatting>
  <conditionalFormatting sqref="R56">
    <cfRule type="cellIs" dxfId="921" priority="1437" operator="equal">
      <formula>1</formula>
    </cfRule>
  </conditionalFormatting>
  <conditionalFormatting sqref="R28:R30">
    <cfRule type="cellIs" dxfId="920" priority="1430" operator="equal">
      <formula>1</formula>
    </cfRule>
  </conditionalFormatting>
  <conditionalFormatting sqref="R52">
    <cfRule type="cellIs" dxfId="919" priority="1429" operator="equal">
      <formula>1</formula>
    </cfRule>
  </conditionalFormatting>
  <conditionalFormatting sqref="R52">
    <cfRule type="cellIs" dxfId="918" priority="1428" operator="equal">
      <formula>1</formula>
    </cfRule>
  </conditionalFormatting>
  <conditionalFormatting sqref="R36">
    <cfRule type="cellIs" dxfId="917" priority="1427" operator="equal">
      <formula>1</formula>
    </cfRule>
  </conditionalFormatting>
  <conditionalFormatting sqref="R36">
    <cfRule type="cellIs" dxfId="916" priority="1426" operator="equal">
      <formula>1</formula>
    </cfRule>
  </conditionalFormatting>
  <conditionalFormatting sqref="R54">
    <cfRule type="cellIs" dxfId="915" priority="1421" operator="equal">
      <formula>1</formula>
    </cfRule>
  </conditionalFormatting>
  <conditionalFormatting sqref="R54">
    <cfRule type="cellIs" dxfId="914" priority="1422" operator="equal">
      <formula>1</formula>
    </cfRule>
  </conditionalFormatting>
  <conditionalFormatting sqref="R54">
    <cfRule type="cellIs" dxfId="913" priority="1423" operator="equal">
      <formula>1</formula>
    </cfRule>
  </conditionalFormatting>
  <conditionalFormatting sqref="R54">
    <cfRule type="cellIs" dxfId="912" priority="1424" operator="equal">
      <formula>1</formula>
    </cfRule>
  </conditionalFormatting>
  <conditionalFormatting sqref="R54">
    <cfRule type="cellIs" dxfId="911" priority="1425" operator="equal">
      <formula>1</formula>
    </cfRule>
  </conditionalFormatting>
  <conditionalFormatting sqref="R17">
    <cfRule type="cellIs" dxfId="910" priority="1420" operator="equal">
      <formula>1</formula>
    </cfRule>
  </conditionalFormatting>
  <conditionalFormatting sqref="R17">
    <cfRule type="cellIs" dxfId="909" priority="1419" operator="equal">
      <formula>1</formula>
    </cfRule>
  </conditionalFormatting>
  <conditionalFormatting sqref="R49">
    <cfRule type="cellIs" dxfId="908" priority="1418" operator="equal">
      <formula>1</formula>
    </cfRule>
  </conditionalFormatting>
  <conditionalFormatting sqref="R80:R81">
    <cfRule type="cellIs" dxfId="907" priority="1411" operator="equal">
      <formula>1</formula>
    </cfRule>
  </conditionalFormatting>
  <conditionalFormatting sqref="R75">
    <cfRule type="cellIs" dxfId="906" priority="1410" operator="equal">
      <formula>1</formula>
    </cfRule>
  </conditionalFormatting>
  <conditionalFormatting sqref="R79">
    <cfRule type="cellIs" dxfId="905" priority="1407" operator="equal">
      <formula>1</formula>
    </cfRule>
  </conditionalFormatting>
  <conditionalFormatting sqref="R21">
    <cfRule type="cellIs" dxfId="904" priority="1406" operator="equal">
      <formula>1</formula>
    </cfRule>
  </conditionalFormatting>
  <conditionalFormatting sqref="R68">
    <cfRule type="cellIs" dxfId="903" priority="1403" operator="equal">
      <formula>1</formula>
    </cfRule>
  </conditionalFormatting>
  <conditionalFormatting sqref="R6">
    <cfRule type="cellIs" dxfId="902" priority="1402" operator="equal">
      <formula>1</formula>
    </cfRule>
  </conditionalFormatting>
  <conditionalFormatting sqref="R27">
    <cfRule type="cellIs" dxfId="901" priority="1401" operator="equal">
      <formula>1</formula>
    </cfRule>
  </conditionalFormatting>
  <conditionalFormatting sqref="R69:R72 R65:R67">
    <cfRule type="colorScale" priority="1474">
      <colorScale>
        <cfvo type="num" val="1"/>
        <cfvo type="num" val="10"/>
        <color rgb="FF00B050"/>
        <color rgb="FFFFEF9C"/>
      </colorScale>
    </cfRule>
    <cfRule type="colorScale" priority="1475">
      <colorScale>
        <cfvo type="num" val="2"/>
        <cfvo type="max"/>
        <color rgb="FF0070C0"/>
        <color rgb="FFFFEF9C"/>
      </colorScale>
    </cfRule>
  </conditionalFormatting>
  <conditionalFormatting sqref="R68">
    <cfRule type="colorScale" priority="1480">
      <colorScale>
        <cfvo type="num" val="1"/>
        <cfvo type="num" val="10"/>
        <color rgb="FF00B050"/>
        <color rgb="FFFFEF9C"/>
      </colorScale>
    </cfRule>
    <cfRule type="colorScale" priority="1481">
      <colorScale>
        <cfvo type="num" val="2"/>
        <cfvo type="max"/>
        <color rgb="FF0070C0"/>
        <color rgb="FFFFEF9C"/>
      </colorScale>
    </cfRule>
  </conditionalFormatting>
  <conditionalFormatting sqref="R50">
    <cfRule type="cellIs" dxfId="900" priority="1400" operator="equal">
      <formula>1</formula>
    </cfRule>
  </conditionalFormatting>
  <conditionalFormatting sqref="R78">
    <cfRule type="cellIs" dxfId="899" priority="1397" operator="equal">
      <formula>1</formula>
    </cfRule>
  </conditionalFormatting>
  <conditionalFormatting sqref="R78">
    <cfRule type="colorScale" priority="1398">
      <colorScale>
        <cfvo type="num" val="1"/>
        <cfvo type="num" val="10"/>
        <color rgb="FF00B050"/>
        <color rgb="FFFFEF9C"/>
      </colorScale>
    </cfRule>
    <cfRule type="colorScale" priority="1399">
      <colorScale>
        <cfvo type="num" val="2"/>
        <cfvo type="max"/>
        <color rgb="FF0070C0"/>
        <color rgb="FFFFEF9C"/>
      </colorScale>
    </cfRule>
  </conditionalFormatting>
  <conditionalFormatting sqref="R11">
    <cfRule type="cellIs" dxfId="898" priority="1390" operator="equal">
      <formula>1</formula>
    </cfRule>
  </conditionalFormatting>
  <conditionalFormatting sqref="R11">
    <cfRule type="cellIs" dxfId="897" priority="1386" operator="equal">
      <formula>1</formula>
    </cfRule>
  </conditionalFormatting>
  <conditionalFormatting sqref="R11">
    <cfRule type="cellIs" dxfId="896" priority="1387" operator="equal">
      <formula>1</formula>
    </cfRule>
  </conditionalFormatting>
  <conditionalFormatting sqref="R11">
    <cfRule type="cellIs" dxfId="895" priority="1388" operator="equal">
      <formula>1</formula>
    </cfRule>
  </conditionalFormatting>
  <conditionalFormatting sqref="R11">
    <cfRule type="cellIs" dxfId="894" priority="1389" operator="equal">
      <formula>1</formula>
    </cfRule>
  </conditionalFormatting>
  <conditionalFormatting sqref="R11">
    <cfRule type="cellIs" dxfId="893" priority="1385" operator="equal">
      <formula>1</formula>
    </cfRule>
  </conditionalFormatting>
  <conditionalFormatting sqref="R32">
    <cfRule type="cellIs" dxfId="892" priority="1384" operator="equal">
      <formula>1</formula>
    </cfRule>
  </conditionalFormatting>
  <conditionalFormatting sqref="R73:R74">
    <cfRule type="colorScale" priority="1488">
      <colorScale>
        <cfvo type="num" val="1"/>
        <cfvo type="num" val="10"/>
        <color rgb="FF00B050"/>
        <color rgb="FFFFEF9C"/>
      </colorScale>
    </cfRule>
    <cfRule type="colorScale" priority="1489">
      <colorScale>
        <cfvo type="num" val="2"/>
        <cfvo type="max"/>
        <color rgb="FF0070C0"/>
        <color rgb="FFFFEF9C"/>
      </colorScale>
    </cfRule>
  </conditionalFormatting>
  <conditionalFormatting sqref="R18">
    <cfRule type="cellIs" dxfId="891" priority="1372" operator="equal">
      <formula>1</formula>
    </cfRule>
  </conditionalFormatting>
  <conditionalFormatting sqref="R18">
    <cfRule type="cellIs" dxfId="890" priority="1371" operator="equal">
      <formula>1</formula>
    </cfRule>
  </conditionalFormatting>
  <conditionalFormatting sqref="R77">
    <cfRule type="cellIs" dxfId="889" priority="1368" operator="equal">
      <formula>1</formula>
    </cfRule>
  </conditionalFormatting>
  <conditionalFormatting sqref="R77">
    <cfRule type="colorScale" priority="1369">
      <colorScale>
        <cfvo type="num" val="1"/>
        <cfvo type="num" val="10"/>
        <color rgb="FF00B050"/>
        <color rgb="FFFFEF9C"/>
      </colorScale>
    </cfRule>
    <cfRule type="colorScale" priority="1370">
      <colorScale>
        <cfvo type="num" val="2"/>
        <cfvo type="max"/>
        <color rgb="FF0070C0"/>
        <color rgb="FFFFEF9C"/>
      </colorScale>
    </cfRule>
  </conditionalFormatting>
  <conditionalFormatting sqref="R76">
    <cfRule type="cellIs" dxfId="888" priority="1365" operator="equal">
      <formula>1</formula>
    </cfRule>
  </conditionalFormatting>
  <conditionalFormatting sqref="R76">
    <cfRule type="colorScale" priority="1366">
      <colorScale>
        <cfvo type="num" val="1"/>
        <cfvo type="num" val="10"/>
        <color rgb="FF00B050"/>
        <color rgb="FFFFEF9C"/>
      </colorScale>
    </cfRule>
    <cfRule type="colorScale" priority="1367">
      <colorScale>
        <cfvo type="num" val="2"/>
        <cfvo type="max"/>
        <color rgb="FF0070C0"/>
        <color rgb="FFFFEF9C"/>
      </colorScale>
    </cfRule>
  </conditionalFormatting>
  <conditionalFormatting sqref="R31">
    <cfRule type="cellIs" dxfId="887" priority="1364" operator="equal">
      <formula>1</formula>
    </cfRule>
  </conditionalFormatting>
  <conditionalFormatting sqref="R31">
    <cfRule type="cellIs" dxfId="886" priority="1363" operator="equal">
      <formula>1</formula>
    </cfRule>
  </conditionalFormatting>
  <conditionalFormatting sqref="R33">
    <cfRule type="cellIs" dxfId="885" priority="1362" operator="equal">
      <formula>1</formula>
    </cfRule>
  </conditionalFormatting>
  <conditionalFormatting sqref="R33">
    <cfRule type="cellIs" dxfId="884" priority="1361" operator="equal">
      <formula>1</formula>
    </cfRule>
  </conditionalFormatting>
  <conditionalFormatting sqref="R82">
    <cfRule type="cellIs" dxfId="883" priority="1360" operator="equal">
      <formula>1</formula>
    </cfRule>
  </conditionalFormatting>
  <conditionalFormatting sqref="R84:R86">
    <cfRule type="cellIs" dxfId="882" priority="1357" operator="equal">
      <formula>1</formula>
    </cfRule>
  </conditionalFormatting>
  <conditionalFormatting sqref="R83">
    <cfRule type="cellIs" dxfId="881" priority="1356" operator="equal">
      <formula>1</formula>
    </cfRule>
  </conditionalFormatting>
  <conditionalFormatting sqref="R83">
    <cfRule type="cellIs" dxfId="880" priority="1355" operator="equal">
      <formula>1</formula>
    </cfRule>
  </conditionalFormatting>
  <conditionalFormatting sqref="R84:R86 R82">
    <cfRule type="colorScale" priority="1358">
      <colorScale>
        <cfvo type="num" val="1"/>
        <cfvo type="num" val="10"/>
        <color rgb="FF00B050"/>
        <color rgb="FFFFEF9C"/>
      </colorScale>
    </cfRule>
    <cfRule type="colorScale" priority="1359">
      <colorScale>
        <cfvo type="num" val="2"/>
        <cfvo type="max"/>
        <color rgb="FF0070C0"/>
        <color rgb="FFFFEF9C"/>
      </colorScale>
    </cfRule>
  </conditionalFormatting>
  <conditionalFormatting sqref="S42">
    <cfRule type="cellIs" dxfId="879" priority="1302" operator="equal">
      <formula>1</formula>
    </cfRule>
  </conditionalFormatting>
  <conditionalFormatting sqref="R5">
    <cfRule type="cellIs" dxfId="878" priority="1354" operator="equal">
      <formula>1</formula>
    </cfRule>
  </conditionalFormatting>
  <conditionalFormatting sqref="S42">
    <cfRule type="cellIs" dxfId="877" priority="1301" operator="equal">
      <formula>1</formula>
    </cfRule>
  </conditionalFormatting>
  <conditionalFormatting sqref="R5">
    <cfRule type="cellIs" dxfId="876" priority="1353" operator="equal">
      <formula>1</formula>
    </cfRule>
  </conditionalFormatting>
  <conditionalFormatting sqref="S69:S74">
    <cfRule type="cellIs" dxfId="875" priority="1348" operator="equal">
      <formula>1</formula>
    </cfRule>
  </conditionalFormatting>
  <conditionalFormatting sqref="S51">
    <cfRule type="cellIs" dxfId="874" priority="1347" operator="equal">
      <formula>1</formula>
    </cfRule>
  </conditionalFormatting>
  <conditionalFormatting sqref="S37:S38 S43:S48">
    <cfRule type="cellIs" dxfId="873" priority="1345" operator="equal">
      <formula>1</formula>
    </cfRule>
  </conditionalFormatting>
  <conditionalFormatting sqref="S65:S67">
    <cfRule type="cellIs" dxfId="872" priority="1336" operator="equal">
      <formula>1</formula>
    </cfRule>
  </conditionalFormatting>
  <conditionalFormatting sqref="S34:S35">
    <cfRule type="cellIs" dxfId="871" priority="1335" operator="equal">
      <formula>1</formula>
    </cfRule>
  </conditionalFormatting>
  <conditionalFormatting sqref="S10">
    <cfRule type="cellIs" dxfId="870" priority="1322" operator="equal">
      <formula>1</formula>
    </cfRule>
  </conditionalFormatting>
  <conditionalFormatting sqref="S40">
    <cfRule type="cellIs" dxfId="869" priority="1323" operator="equal">
      <formula>1</formula>
    </cfRule>
  </conditionalFormatting>
  <conditionalFormatting sqref="S44">
    <cfRule type="cellIs" dxfId="868" priority="1324" operator="equal">
      <formula>1</formula>
    </cfRule>
  </conditionalFormatting>
  <conditionalFormatting sqref="S59">
    <cfRule type="cellIs" dxfId="867" priority="1325" operator="equal">
      <formula>1</formula>
    </cfRule>
  </conditionalFormatting>
  <conditionalFormatting sqref="S12">
    <cfRule type="cellIs" dxfId="866" priority="1326" operator="equal">
      <formula>1</formula>
    </cfRule>
  </conditionalFormatting>
  <conditionalFormatting sqref="S25">
    <cfRule type="cellIs" dxfId="865" priority="1327" operator="equal">
      <formula>1</formula>
    </cfRule>
  </conditionalFormatting>
  <conditionalFormatting sqref="S13">
    <cfRule type="cellIs" dxfId="864" priority="1328" operator="equal">
      <formula>1</formula>
    </cfRule>
  </conditionalFormatting>
  <conditionalFormatting sqref="S14">
    <cfRule type="cellIs" dxfId="863" priority="1329" operator="equal">
      <formula>1</formula>
    </cfRule>
  </conditionalFormatting>
  <conditionalFormatting sqref="S57">
    <cfRule type="cellIs" dxfId="862" priority="1330" operator="equal">
      <formula>1</formula>
    </cfRule>
  </conditionalFormatting>
  <conditionalFormatting sqref="S57">
    <cfRule type="cellIs" dxfId="861" priority="1331" operator="equal">
      <formula>1</formula>
    </cfRule>
  </conditionalFormatting>
  <conditionalFormatting sqref="S38">
    <cfRule type="cellIs" dxfId="860" priority="1332" operator="equal">
      <formula>1</formula>
    </cfRule>
  </conditionalFormatting>
  <conditionalFormatting sqref="S23">
    <cfRule type="cellIs" dxfId="859" priority="1333" operator="equal">
      <formula>1</formula>
    </cfRule>
  </conditionalFormatting>
  <conditionalFormatting sqref="S8">
    <cfRule type="cellIs" dxfId="858" priority="1334" operator="equal">
      <formula>1</formula>
    </cfRule>
  </conditionalFormatting>
  <conditionalFormatting sqref="S9">
    <cfRule type="cellIs" dxfId="857" priority="1321" operator="equal">
      <formula>1</formula>
    </cfRule>
  </conditionalFormatting>
  <conditionalFormatting sqref="S15:S16">
    <cfRule type="cellIs" dxfId="856" priority="1320" operator="equal">
      <formula>1</formula>
    </cfRule>
  </conditionalFormatting>
  <conditionalFormatting sqref="S26 S20">
    <cfRule type="cellIs" dxfId="855" priority="1317" operator="equal">
      <formula>1</formula>
    </cfRule>
  </conditionalFormatting>
  <conditionalFormatting sqref="S43">
    <cfRule type="cellIs" dxfId="854" priority="1318" operator="equal">
      <formula>1</formula>
    </cfRule>
  </conditionalFormatting>
  <conditionalFormatting sqref="S26">
    <cfRule type="cellIs" dxfId="853" priority="1319" operator="equal">
      <formula>1</formula>
    </cfRule>
  </conditionalFormatting>
  <conditionalFormatting sqref="S23">
    <cfRule type="cellIs" dxfId="852" priority="1316" operator="equal">
      <formula>1</formula>
    </cfRule>
  </conditionalFormatting>
  <conditionalFormatting sqref="S8">
    <cfRule type="cellIs" dxfId="851" priority="1311" operator="equal">
      <formula>1</formula>
    </cfRule>
  </conditionalFormatting>
  <conditionalFormatting sqref="S8">
    <cfRule type="cellIs" dxfId="850" priority="1312" operator="equal">
      <formula>1</formula>
    </cfRule>
  </conditionalFormatting>
  <conditionalFormatting sqref="S8">
    <cfRule type="cellIs" dxfId="849" priority="1313" operator="equal">
      <formula>1</formula>
    </cfRule>
  </conditionalFormatting>
  <conditionalFormatting sqref="S8">
    <cfRule type="cellIs" dxfId="848" priority="1314" operator="equal">
      <formula>1</formula>
    </cfRule>
  </conditionalFormatting>
  <conditionalFormatting sqref="S20 S26">
    <cfRule type="cellIs" dxfId="847" priority="1315" operator="equal">
      <formula>1</formula>
    </cfRule>
  </conditionalFormatting>
  <conditionalFormatting sqref="S8:S10 S12:S16 S57 S59 S20 S53">
    <cfRule type="cellIs" dxfId="846" priority="1310" operator="equal">
      <formula>1</formula>
    </cfRule>
  </conditionalFormatting>
  <conditionalFormatting sqref="S22">
    <cfRule type="cellIs" dxfId="845" priority="1309" operator="equal">
      <formula>1</formula>
    </cfRule>
  </conditionalFormatting>
  <conditionalFormatting sqref="S58">
    <cfRule type="cellIs" dxfId="844" priority="1294" operator="equal">
      <formula>1</formula>
    </cfRule>
  </conditionalFormatting>
  <conditionalFormatting sqref="S58">
    <cfRule type="cellIs" dxfId="843" priority="1295" operator="equal">
      <formula>1</formula>
    </cfRule>
  </conditionalFormatting>
  <conditionalFormatting sqref="S19">
    <cfRule type="cellIs" dxfId="842" priority="1308" operator="equal">
      <formula>1</formula>
    </cfRule>
  </conditionalFormatting>
  <conditionalFormatting sqref="S55">
    <cfRule type="cellIs" dxfId="841" priority="1303" operator="equal">
      <formula>1</formula>
    </cfRule>
  </conditionalFormatting>
  <conditionalFormatting sqref="S55">
    <cfRule type="cellIs" dxfId="840" priority="1304" operator="equal">
      <formula>1</formula>
    </cfRule>
  </conditionalFormatting>
  <conditionalFormatting sqref="S55">
    <cfRule type="cellIs" dxfId="839" priority="1305" operator="equal">
      <formula>1</formula>
    </cfRule>
  </conditionalFormatting>
  <conditionalFormatting sqref="S55">
    <cfRule type="cellIs" dxfId="838" priority="1306" operator="equal">
      <formula>1</formula>
    </cfRule>
  </conditionalFormatting>
  <conditionalFormatting sqref="S55">
    <cfRule type="cellIs" dxfId="837" priority="1307" operator="equal">
      <formula>1</formula>
    </cfRule>
  </conditionalFormatting>
  <conditionalFormatting sqref="S56">
    <cfRule type="cellIs" dxfId="836" priority="1296" operator="equal">
      <formula>1</formula>
    </cfRule>
  </conditionalFormatting>
  <conditionalFormatting sqref="S56">
    <cfRule type="cellIs" dxfId="835" priority="1297" operator="equal">
      <formula>1</formula>
    </cfRule>
  </conditionalFormatting>
  <conditionalFormatting sqref="S56">
    <cfRule type="cellIs" dxfId="834" priority="1298" operator="equal">
      <formula>1</formula>
    </cfRule>
  </conditionalFormatting>
  <conditionalFormatting sqref="S56">
    <cfRule type="cellIs" dxfId="833" priority="1299" operator="equal">
      <formula>1</formula>
    </cfRule>
  </conditionalFormatting>
  <conditionalFormatting sqref="S56">
    <cfRule type="cellIs" dxfId="832" priority="1300" operator="equal">
      <formula>1</formula>
    </cfRule>
  </conditionalFormatting>
  <conditionalFormatting sqref="S28:S30">
    <cfRule type="cellIs" dxfId="831" priority="1293" operator="equal">
      <formula>1</formula>
    </cfRule>
  </conditionalFormatting>
  <conditionalFormatting sqref="S52">
    <cfRule type="cellIs" dxfId="830" priority="1292" operator="equal">
      <formula>1</formula>
    </cfRule>
  </conditionalFormatting>
  <conditionalFormatting sqref="S52">
    <cfRule type="cellIs" dxfId="829" priority="1291" operator="equal">
      <formula>1</formula>
    </cfRule>
  </conditionalFormatting>
  <conditionalFormatting sqref="S36">
    <cfRule type="cellIs" dxfId="828" priority="1290" operator="equal">
      <formula>1</formula>
    </cfRule>
  </conditionalFormatting>
  <conditionalFormatting sqref="S36">
    <cfRule type="cellIs" dxfId="827" priority="1289" operator="equal">
      <formula>1</formula>
    </cfRule>
  </conditionalFormatting>
  <conditionalFormatting sqref="S54">
    <cfRule type="cellIs" dxfId="826" priority="1284" operator="equal">
      <formula>1</formula>
    </cfRule>
  </conditionalFormatting>
  <conditionalFormatting sqref="S54">
    <cfRule type="cellIs" dxfId="825" priority="1285" operator="equal">
      <formula>1</formula>
    </cfRule>
  </conditionalFormatting>
  <conditionalFormatting sqref="S54">
    <cfRule type="cellIs" dxfId="824" priority="1286" operator="equal">
      <formula>1</formula>
    </cfRule>
  </conditionalFormatting>
  <conditionalFormatting sqref="S54">
    <cfRule type="cellIs" dxfId="823" priority="1287" operator="equal">
      <formula>1</formula>
    </cfRule>
  </conditionalFormatting>
  <conditionalFormatting sqref="S54">
    <cfRule type="cellIs" dxfId="822" priority="1288" operator="equal">
      <formula>1</formula>
    </cfRule>
  </conditionalFormatting>
  <conditionalFormatting sqref="S17">
    <cfRule type="cellIs" dxfId="821" priority="1283" operator="equal">
      <formula>1</formula>
    </cfRule>
  </conditionalFormatting>
  <conditionalFormatting sqref="S17">
    <cfRule type="cellIs" dxfId="820" priority="1282" operator="equal">
      <formula>1</formula>
    </cfRule>
  </conditionalFormatting>
  <conditionalFormatting sqref="S49">
    <cfRule type="cellIs" dxfId="819" priority="1281" operator="equal">
      <formula>1</formula>
    </cfRule>
  </conditionalFormatting>
  <conditionalFormatting sqref="S80:S81">
    <cfRule type="cellIs" dxfId="818" priority="1274" operator="equal">
      <formula>1</formula>
    </cfRule>
  </conditionalFormatting>
  <conditionalFormatting sqref="S75">
    <cfRule type="cellIs" dxfId="817" priority="1273" operator="equal">
      <formula>1</formula>
    </cfRule>
  </conditionalFormatting>
  <conditionalFormatting sqref="S79">
    <cfRule type="cellIs" dxfId="816" priority="1270" operator="equal">
      <formula>1</formula>
    </cfRule>
  </conditionalFormatting>
  <conditionalFormatting sqref="S21">
    <cfRule type="cellIs" dxfId="815" priority="1269" operator="equal">
      <formula>1</formula>
    </cfRule>
  </conditionalFormatting>
  <conditionalFormatting sqref="S68">
    <cfRule type="cellIs" dxfId="814" priority="1266" operator="equal">
      <formula>1</formula>
    </cfRule>
  </conditionalFormatting>
  <conditionalFormatting sqref="S6">
    <cfRule type="cellIs" dxfId="813" priority="1265" operator="equal">
      <formula>1</formula>
    </cfRule>
  </conditionalFormatting>
  <conditionalFormatting sqref="S27">
    <cfRule type="cellIs" dxfId="812" priority="1264" operator="equal">
      <formula>1</formula>
    </cfRule>
  </conditionalFormatting>
  <conditionalFormatting sqref="S69:S72 S65:S67">
    <cfRule type="colorScale" priority="1337">
      <colorScale>
        <cfvo type="num" val="1"/>
        <cfvo type="num" val="10"/>
        <color rgb="FF00B050"/>
        <color rgb="FFFFEF9C"/>
      </colorScale>
    </cfRule>
    <cfRule type="colorScale" priority="1338">
      <colorScale>
        <cfvo type="num" val="2"/>
        <cfvo type="max"/>
        <color rgb="FF0070C0"/>
        <color rgb="FFFFEF9C"/>
      </colorScale>
    </cfRule>
  </conditionalFormatting>
  <conditionalFormatting sqref="S68">
    <cfRule type="colorScale" priority="1343">
      <colorScale>
        <cfvo type="num" val="1"/>
        <cfvo type="num" val="10"/>
        <color rgb="FF00B050"/>
        <color rgb="FFFFEF9C"/>
      </colorScale>
    </cfRule>
    <cfRule type="colorScale" priority="1344">
      <colorScale>
        <cfvo type="num" val="2"/>
        <cfvo type="max"/>
        <color rgb="FF0070C0"/>
        <color rgb="FFFFEF9C"/>
      </colorScale>
    </cfRule>
  </conditionalFormatting>
  <conditionalFormatting sqref="S50">
    <cfRule type="cellIs" dxfId="811" priority="1263" operator="equal">
      <formula>1</formula>
    </cfRule>
  </conditionalFormatting>
  <conditionalFormatting sqref="S78">
    <cfRule type="cellIs" dxfId="810" priority="1260" operator="equal">
      <formula>1</formula>
    </cfRule>
  </conditionalFormatting>
  <conditionalFormatting sqref="S78">
    <cfRule type="colorScale" priority="1261">
      <colorScale>
        <cfvo type="num" val="1"/>
        <cfvo type="num" val="10"/>
        <color rgb="FF00B050"/>
        <color rgb="FFFFEF9C"/>
      </colorScale>
    </cfRule>
    <cfRule type="colorScale" priority="1262">
      <colorScale>
        <cfvo type="num" val="2"/>
        <cfvo type="max"/>
        <color rgb="FF0070C0"/>
        <color rgb="FFFFEF9C"/>
      </colorScale>
    </cfRule>
  </conditionalFormatting>
  <conditionalFormatting sqref="S11">
    <cfRule type="cellIs" dxfId="809" priority="1253" operator="equal">
      <formula>1</formula>
    </cfRule>
  </conditionalFormatting>
  <conditionalFormatting sqref="S11">
    <cfRule type="cellIs" dxfId="808" priority="1249" operator="equal">
      <formula>1</formula>
    </cfRule>
  </conditionalFormatting>
  <conditionalFormatting sqref="S11">
    <cfRule type="cellIs" dxfId="807" priority="1250" operator="equal">
      <formula>1</formula>
    </cfRule>
  </conditionalFormatting>
  <conditionalFormatting sqref="S11">
    <cfRule type="cellIs" dxfId="806" priority="1251" operator="equal">
      <formula>1</formula>
    </cfRule>
  </conditionalFormatting>
  <conditionalFormatting sqref="S11">
    <cfRule type="cellIs" dxfId="805" priority="1252" operator="equal">
      <formula>1</formula>
    </cfRule>
  </conditionalFormatting>
  <conditionalFormatting sqref="S11">
    <cfRule type="cellIs" dxfId="804" priority="1248" operator="equal">
      <formula>1</formula>
    </cfRule>
  </conditionalFormatting>
  <conditionalFormatting sqref="S32">
    <cfRule type="cellIs" dxfId="803" priority="1247" operator="equal">
      <formula>1</formula>
    </cfRule>
  </conditionalFormatting>
  <conditionalFormatting sqref="S60">
    <cfRule type="cellIs" dxfId="802" priority="1245" operator="equal">
      <formula>1</formula>
    </cfRule>
  </conditionalFormatting>
  <conditionalFormatting sqref="S73:S74">
    <cfRule type="colorScale" priority="1351">
      <colorScale>
        <cfvo type="num" val="1"/>
        <cfvo type="num" val="10"/>
        <color rgb="FF00B050"/>
        <color rgb="FFFFEF9C"/>
      </colorScale>
    </cfRule>
    <cfRule type="colorScale" priority="1352">
      <colorScale>
        <cfvo type="num" val="2"/>
        <cfvo type="max"/>
        <color rgb="FF0070C0"/>
        <color rgb="FFFFEF9C"/>
      </colorScale>
    </cfRule>
  </conditionalFormatting>
  <conditionalFormatting sqref="S18">
    <cfRule type="cellIs" dxfId="801" priority="1235" operator="equal">
      <formula>1</formula>
    </cfRule>
  </conditionalFormatting>
  <conditionalFormatting sqref="S18">
    <cfRule type="cellIs" dxfId="800" priority="1234" operator="equal">
      <formula>1</formula>
    </cfRule>
  </conditionalFormatting>
  <conditionalFormatting sqref="S77">
    <cfRule type="cellIs" dxfId="799" priority="1231" operator="equal">
      <formula>1</formula>
    </cfRule>
  </conditionalFormatting>
  <conditionalFormatting sqref="S77">
    <cfRule type="colorScale" priority="1232">
      <colorScale>
        <cfvo type="num" val="1"/>
        <cfvo type="num" val="10"/>
        <color rgb="FF00B050"/>
        <color rgb="FFFFEF9C"/>
      </colorScale>
    </cfRule>
    <cfRule type="colorScale" priority="1233">
      <colorScale>
        <cfvo type="num" val="2"/>
        <cfvo type="max"/>
        <color rgb="FF0070C0"/>
        <color rgb="FFFFEF9C"/>
      </colorScale>
    </cfRule>
  </conditionalFormatting>
  <conditionalFormatting sqref="S76">
    <cfRule type="cellIs" dxfId="798" priority="1228" operator="equal">
      <formula>1</formula>
    </cfRule>
  </conditionalFormatting>
  <conditionalFormatting sqref="S76">
    <cfRule type="colorScale" priority="1229">
      <colorScale>
        <cfvo type="num" val="1"/>
        <cfvo type="num" val="10"/>
        <color rgb="FF00B050"/>
        <color rgb="FFFFEF9C"/>
      </colorScale>
    </cfRule>
    <cfRule type="colorScale" priority="1230">
      <colorScale>
        <cfvo type="num" val="2"/>
        <cfvo type="max"/>
        <color rgb="FF0070C0"/>
        <color rgb="FFFFEF9C"/>
      </colorScale>
    </cfRule>
  </conditionalFormatting>
  <conditionalFormatting sqref="S31">
    <cfRule type="cellIs" dxfId="797" priority="1227" operator="equal">
      <formula>1</formula>
    </cfRule>
  </conditionalFormatting>
  <conditionalFormatting sqref="S31">
    <cfRule type="cellIs" dxfId="796" priority="1226" operator="equal">
      <formula>1</formula>
    </cfRule>
  </conditionalFormatting>
  <conditionalFormatting sqref="S33">
    <cfRule type="cellIs" dxfId="795" priority="1225" operator="equal">
      <formula>1</formula>
    </cfRule>
  </conditionalFormatting>
  <conditionalFormatting sqref="S33">
    <cfRule type="cellIs" dxfId="794" priority="1224" operator="equal">
      <formula>1</formula>
    </cfRule>
  </conditionalFormatting>
  <conditionalFormatting sqref="S82">
    <cfRule type="cellIs" dxfId="793" priority="1223" operator="equal">
      <formula>1</formula>
    </cfRule>
  </conditionalFormatting>
  <conditionalFormatting sqref="S84:S86">
    <cfRule type="cellIs" dxfId="792" priority="1220" operator="equal">
      <formula>1</formula>
    </cfRule>
  </conditionalFormatting>
  <conditionalFormatting sqref="S83">
    <cfRule type="cellIs" dxfId="791" priority="1219" operator="equal">
      <formula>1</formula>
    </cfRule>
  </conditionalFormatting>
  <conditionalFormatting sqref="S83">
    <cfRule type="cellIs" dxfId="790" priority="1218" operator="equal">
      <formula>1</formula>
    </cfRule>
  </conditionalFormatting>
  <conditionalFormatting sqref="S84:S86 S82">
    <cfRule type="colorScale" priority="1221">
      <colorScale>
        <cfvo type="num" val="1"/>
        <cfvo type="num" val="10"/>
        <color rgb="FF00B050"/>
        <color rgb="FFFFEF9C"/>
      </colorScale>
    </cfRule>
    <cfRule type="colorScale" priority="1222">
      <colorScale>
        <cfvo type="num" val="2"/>
        <cfvo type="max"/>
        <color rgb="FF0070C0"/>
        <color rgb="FFFFEF9C"/>
      </colorScale>
    </cfRule>
  </conditionalFormatting>
  <conditionalFormatting sqref="T42">
    <cfRule type="cellIs" dxfId="789" priority="1165" operator="equal">
      <formula>1</formula>
    </cfRule>
  </conditionalFormatting>
  <conditionalFormatting sqref="S5">
    <cfRule type="cellIs" dxfId="788" priority="1217" operator="equal">
      <formula>1</formula>
    </cfRule>
  </conditionalFormatting>
  <conditionalFormatting sqref="T42">
    <cfRule type="cellIs" dxfId="787" priority="1164" operator="equal">
      <formula>1</formula>
    </cfRule>
  </conditionalFormatting>
  <conditionalFormatting sqref="S5">
    <cfRule type="cellIs" dxfId="786" priority="1216" operator="equal">
      <formula>1</formula>
    </cfRule>
  </conditionalFormatting>
  <conditionalFormatting sqref="T69:T74">
    <cfRule type="cellIs" dxfId="785" priority="1211" operator="equal">
      <formula>1</formula>
    </cfRule>
  </conditionalFormatting>
  <conditionalFormatting sqref="T51">
    <cfRule type="cellIs" dxfId="784" priority="1210" operator="equal">
      <formula>1</formula>
    </cfRule>
  </conditionalFormatting>
  <conditionalFormatting sqref="T37:T38 T43:T48">
    <cfRule type="cellIs" dxfId="783" priority="1208" operator="equal">
      <formula>1</formula>
    </cfRule>
  </conditionalFormatting>
  <conditionalFormatting sqref="T65:T67">
    <cfRule type="cellIs" dxfId="782" priority="1199" operator="equal">
      <formula>1</formula>
    </cfRule>
  </conditionalFormatting>
  <conditionalFormatting sqref="T34:T35">
    <cfRule type="cellIs" dxfId="781" priority="1198" operator="equal">
      <formula>1</formula>
    </cfRule>
  </conditionalFormatting>
  <conditionalFormatting sqref="T10">
    <cfRule type="cellIs" dxfId="780" priority="1185" operator="equal">
      <formula>1</formula>
    </cfRule>
  </conditionalFormatting>
  <conditionalFormatting sqref="T40">
    <cfRule type="cellIs" dxfId="779" priority="1186" operator="equal">
      <formula>1</formula>
    </cfRule>
  </conditionalFormatting>
  <conditionalFormatting sqref="T44">
    <cfRule type="cellIs" dxfId="778" priority="1187" operator="equal">
      <formula>1</formula>
    </cfRule>
  </conditionalFormatting>
  <conditionalFormatting sqref="T59">
    <cfRule type="cellIs" dxfId="777" priority="1188" operator="equal">
      <formula>1</formula>
    </cfRule>
  </conditionalFormatting>
  <conditionalFormatting sqref="T12">
    <cfRule type="cellIs" dxfId="776" priority="1189" operator="equal">
      <formula>1</formula>
    </cfRule>
  </conditionalFormatting>
  <conditionalFormatting sqref="T25">
    <cfRule type="cellIs" dxfId="775" priority="1190" operator="equal">
      <formula>1</formula>
    </cfRule>
  </conditionalFormatting>
  <conditionalFormatting sqref="T13">
    <cfRule type="cellIs" dxfId="774" priority="1191" operator="equal">
      <formula>1</formula>
    </cfRule>
  </conditionalFormatting>
  <conditionalFormatting sqref="T14">
    <cfRule type="cellIs" dxfId="773" priority="1192" operator="equal">
      <formula>1</formula>
    </cfRule>
  </conditionalFormatting>
  <conditionalFormatting sqref="T57">
    <cfRule type="cellIs" dxfId="772" priority="1193" operator="equal">
      <formula>1</formula>
    </cfRule>
  </conditionalFormatting>
  <conditionalFormatting sqref="T57">
    <cfRule type="cellIs" dxfId="771" priority="1194" operator="equal">
      <formula>1</formula>
    </cfRule>
  </conditionalFormatting>
  <conditionalFormatting sqref="T38">
    <cfRule type="cellIs" dxfId="770" priority="1195" operator="equal">
      <formula>1</formula>
    </cfRule>
  </conditionalFormatting>
  <conditionalFormatting sqref="T23">
    <cfRule type="cellIs" dxfId="769" priority="1196" operator="equal">
      <formula>1</formula>
    </cfRule>
  </conditionalFormatting>
  <conditionalFormatting sqref="T8">
    <cfRule type="cellIs" dxfId="768" priority="1197" operator="equal">
      <formula>1</formula>
    </cfRule>
  </conditionalFormatting>
  <conditionalFormatting sqref="T9">
    <cfRule type="cellIs" dxfId="767" priority="1184" operator="equal">
      <formula>1</formula>
    </cfRule>
  </conditionalFormatting>
  <conditionalFormatting sqref="T15:T16">
    <cfRule type="cellIs" dxfId="766" priority="1183" operator="equal">
      <formula>1</formula>
    </cfRule>
  </conditionalFormatting>
  <conditionalFormatting sqref="T26 T20">
    <cfRule type="cellIs" dxfId="765" priority="1180" operator="equal">
      <formula>1</formula>
    </cfRule>
  </conditionalFormatting>
  <conditionalFormatting sqref="T43">
    <cfRule type="cellIs" dxfId="764" priority="1181" operator="equal">
      <formula>1</formula>
    </cfRule>
  </conditionalFormatting>
  <conditionalFormatting sqref="T26">
    <cfRule type="cellIs" dxfId="763" priority="1182" operator="equal">
      <formula>1</formula>
    </cfRule>
  </conditionalFormatting>
  <conditionalFormatting sqref="T23">
    <cfRule type="cellIs" dxfId="762" priority="1179" operator="equal">
      <formula>1</formula>
    </cfRule>
  </conditionalFormatting>
  <conditionalFormatting sqref="T8">
    <cfRule type="cellIs" dxfId="761" priority="1174" operator="equal">
      <formula>1</formula>
    </cfRule>
  </conditionalFormatting>
  <conditionalFormatting sqref="T8">
    <cfRule type="cellIs" dxfId="760" priority="1175" operator="equal">
      <formula>1</formula>
    </cfRule>
  </conditionalFormatting>
  <conditionalFormatting sqref="T8">
    <cfRule type="cellIs" dxfId="759" priority="1176" operator="equal">
      <formula>1</formula>
    </cfRule>
  </conditionalFormatting>
  <conditionalFormatting sqref="T8">
    <cfRule type="cellIs" dxfId="758" priority="1177" operator="equal">
      <formula>1</formula>
    </cfRule>
  </conditionalFormatting>
  <conditionalFormatting sqref="T20 T26">
    <cfRule type="cellIs" dxfId="757" priority="1178" operator="equal">
      <formula>1</formula>
    </cfRule>
  </conditionalFormatting>
  <conditionalFormatting sqref="T8:T10 T12:T16 T57 T59 T20 T53">
    <cfRule type="cellIs" dxfId="756" priority="1173" operator="equal">
      <formula>1</formula>
    </cfRule>
  </conditionalFormatting>
  <conditionalFormatting sqref="T22">
    <cfRule type="cellIs" dxfId="755" priority="1172" operator="equal">
      <formula>1</formula>
    </cfRule>
  </conditionalFormatting>
  <conditionalFormatting sqref="T58">
    <cfRule type="cellIs" dxfId="754" priority="1157" operator="equal">
      <formula>1</formula>
    </cfRule>
  </conditionalFormatting>
  <conditionalFormatting sqref="T58">
    <cfRule type="cellIs" dxfId="753" priority="1158" operator="equal">
      <formula>1</formula>
    </cfRule>
  </conditionalFormatting>
  <conditionalFormatting sqref="T19">
    <cfRule type="cellIs" dxfId="752" priority="1171" operator="equal">
      <formula>1</formula>
    </cfRule>
  </conditionalFormatting>
  <conditionalFormatting sqref="T55">
    <cfRule type="cellIs" dxfId="751" priority="1166" operator="equal">
      <formula>1</formula>
    </cfRule>
  </conditionalFormatting>
  <conditionalFormatting sqref="T55">
    <cfRule type="cellIs" dxfId="750" priority="1167" operator="equal">
      <formula>1</formula>
    </cfRule>
  </conditionalFormatting>
  <conditionalFormatting sqref="T55">
    <cfRule type="cellIs" dxfId="749" priority="1168" operator="equal">
      <formula>1</formula>
    </cfRule>
  </conditionalFormatting>
  <conditionalFormatting sqref="T55">
    <cfRule type="cellIs" dxfId="748" priority="1169" operator="equal">
      <formula>1</formula>
    </cfRule>
  </conditionalFormatting>
  <conditionalFormatting sqref="T55">
    <cfRule type="cellIs" dxfId="747" priority="1170" operator="equal">
      <formula>1</formula>
    </cfRule>
  </conditionalFormatting>
  <conditionalFormatting sqref="T56">
    <cfRule type="cellIs" dxfId="746" priority="1159" operator="equal">
      <formula>1</formula>
    </cfRule>
  </conditionalFormatting>
  <conditionalFormatting sqref="T56">
    <cfRule type="cellIs" dxfId="745" priority="1160" operator="equal">
      <formula>1</formula>
    </cfRule>
  </conditionalFormatting>
  <conditionalFormatting sqref="T56">
    <cfRule type="cellIs" dxfId="744" priority="1161" operator="equal">
      <formula>1</formula>
    </cfRule>
  </conditionalFormatting>
  <conditionalFormatting sqref="T56">
    <cfRule type="cellIs" dxfId="743" priority="1162" operator="equal">
      <formula>1</formula>
    </cfRule>
  </conditionalFormatting>
  <conditionalFormatting sqref="T56">
    <cfRule type="cellIs" dxfId="742" priority="1163" operator="equal">
      <formula>1</formula>
    </cfRule>
  </conditionalFormatting>
  <conditionalFormatting sqref="T28:T30">
    <cfRule type="cellIs" dxfId="741" priority="1156" operator="equal">
      <formula>1</formula>
    </cfRule>
  </conditionalFormatting>
  <conditionalFormatting sqref="T52">
    <cfRule type="cellIs" dxfId="740" priority="1155" operator="equal">
      <formula>1</formula>
    </cfRule>
  </conditionalFormatting>
  <conditionalFormatting sqref="T52">
    <cfRule type="cellIs" dxfId="739" priority="1154" operator="equal">
      <formula>1</formula>
    </cfRule>
  </conditionalFormatting>
  <conditionalFormatting sqref="T36">
    <cfRule type="cellIs" dxfId="738" priority="1153" operator="equal">
      <formula>1</formula>
    </cfRule>
  </conditionalFormatting>
  <conditionalFormatting sqref="T36">
    <cfRule type="cellIs" dxfId="737" priority="1152" operator="equal">
      <formula>1</formula>
    </cfRule>
  </conditionalFormatting>
  <conditionalFormatting sqref="T54">
    <cfRule type="cellIs" dxfId="736" priority="1147" operator="equal">
      <formula>1</formula>
    </cfRule>
  </conditionalFormatting>
  <conditionalFormatting sqref="T54">
    <cfRule type="cellIs" dxfId="735" priority="1148" operator="equal">
      <formula>1</formula>
    </cfRule>
  </conditionalFormatting>
  <conditionalFormatting sqref="T54">
    <cfRule type="cellIs" dxfId="734" priority="1149" operator="equal">
      <formula>1</formula>
    </cfRule>
  </conditionalFormatting>
  <conditionalFormatting sqref="T54">
    <cfRule type="cellIs" dxfId="733" priority="1150" operator="equal">
      <formula>1</formula>
    </cfRule>
  </conditionalFormatting>
  <conditionalFormatting sqref="T54">
    <cfRule type="cellIs" dxfId="732" priority="1151" operator="equal">
      <formula>1</formula>
    </cfRule>
  </conditionalFormatting>
  <conditionalFormatting sqref="T17">
    <cfRule type="cellIs" dxfId="731" priority="1146" operator="equal">
      <formula>1</formula>
    </cfRule>
  </conditionalFormatting>
  <conditionalFormatting sqref="T17">
    <cfRule type="cellIs" dxfId="730" priority="1145" operator="equal">
      <formula>1</formula>
    </cfRule>
  </conditionalFormatting>
  <conditionalFormatting sqref="T49">
    <cfRule type="cellIs" dxfId="729" priority="1144" operator="equal">
      <formula>1</formula>
    </cfRule>
  </conditionalFormatting>
  <conditionalFormatting sqref="T80:T81">
    <cfRule type="cellIs" dxfId="728" priority="1137" operator="equal">
      <formula>1</formula>
    </cfRule>
  </conditionalFormatting>
  <conditionalFormatting sqref="T75">
    <cfRule type="cellIs" dxfId="727" priority="1136" operator="equal">
      <formula>1</formula>
    </cfRule>
  </conditionalFormatting>
  <conditionalFormatting sqref="T79">
    <cfRule type="cellIs" dxfId="726" priority="1133" operator="equal">
      <formula>1</formula>
    </cfRule>
  </conditionalFormatting>
  <conditionalFormatting sqref="T21">
    <cfRule type="cellIs" dxfId="725" priority="1132" operator="equal">
      <formula>1</formula>
    </cfRule>
  </conditionalFormatting>
  <conditionalFormatting sqref="T68">
    <cfRule type="cellIs" dxfId="724" priority="1129" operator="equal">
      <formula>1</formula>
    </cfRule>
  </conditionalFormatting>
  <conditionalFormatting sqref="T6">
    <cfRule type="cellIs" dxfId="723" priority="1128" operator="equal">
      <formula>1</formula>
    </cfRule>
  </conditionalFormatting>
  <conditionalFormatting sqref="T27">
    <cfRule type="cellIs" dxfId="722" priority="1127" operator="equal">
      <formula>1</formula>
    </cfRule>
  </conditionalFormatting>
  <conditionalFormatting sqref="T69:T72">
    <cfRule type="colorScale" priority="1200">
      <colorScale>
        <cfvo type="num" val="1"/>
        <cfvo type="num" val="10"/>
        <color rgb="FF00B050"/>
        <color rgb="FFFFEF9C"/>
      </colorScale>
    </cfRule>
    <cfRule type="colorScale" priority="1201">
      <colorScale>
        <cfvo type="num" val="2"/>
        <cfvo type="max"/>
        <color rgb="FF0070C0"/>
        <color rgb="FFFFEF9C"/>
      </colorScale>
    </cfRule>
  </conditionalFormatting>
  <conditionalFormatting sqref="T68">
    <cfRule type="colorScale" priority="1206">
      <colorScale>
        <cfvo type="num" val="1"/>
        <cfvo type="num" val="10"/>
        <color rgb="FF00B050"/>
        <color rgb="FFFFEF9C"/>
      </colorScale>
    </cfRule>
    <cfRule type="colorScale" priority="1207">
      <colorScale>
        <cfvo type="num" val="2"/>
        <cfvo type="max"/>
        <color rgb="FF0070C0"/>
        <color rgb="FFFFEF9C"/>
      </colorScale>
    </cfRule>
  </conditionalFormatting>
  <conditionalFormatting sqref="T50">
    <cfRule type="cellIs" dxfId="721" priority="1126" operator="equal">
      <formula>1</formula>
    </cfRule>
  </conditionalFormatting>
  <conditionalFormatting sqref="T78">
    <cfRule type="cellIs" dxfId="720" priority="1123" operator="equal">
      <formula>1</formula>
    </cfRule>
  </conditionalFormatting>
  <conditionalFormatting sqref="T78">
    <cfRule type="colorScale" priority="1124">
      <colorScale>
        <cfvo type="num" val="1"/>
        <cfvo type="num" val="10"/>
        <color rgb="FF00B050"/>
        <color rgb="FFFFEF9C"/>
      </colorScale>
    </cfRule>
    <cfRule type="colorScale" priority="1125">
      <colorScale>
        <cfvo type="num" val="2"/>
        <cfvo type="max"/>
        <color rgb="FF0070C0"/>
        <color rgb="FFFFEF9C"/>
      </colorScale>
    </cfRule>
  </conditionalFormatting>
  <conditionalFormatting sqref="T11">
    <cfRule type="cellIs" dxfId="719" priority="1116" operator="equal">
      <formula>1</formula>
    </cfRule>
  </conditionalFormatting>
  <conditionalFormatting sqref="T11">
    <cfRule type="cellIs" dxfId="718" priority="1112" operator="equal">
      <formula>1</formula>
    </cfRule>
  </conditionalFormatting>
  <conditionalFormatting sqref="T11">
    <cfRule type="cellIs" dxfId="717" priority="1113" operator="equal">
      <formula>1</formula>
    </cfRule>
  </conditionalFormatting>
  <conditionalFormatting sqref="T11">
    <cfRule type="cellIs" dxfId="716" priority="1114" operator="equal">
      <formula>1</formula>
    </cfRule>
  </conditionalFormatting>
  <conditionalFormatting sqref="T11">
    <cfRule type="cellIs" dxfId="715" priority="1115" operator="equal">
      <formula>1</formula>
    </cfRule>
  </conditionalFormatting>
  <conditionalFormatting sqref="T11">
    <cfRule type="cellIs" dxfId="714" priority="1111" operator="equal">
      <formula>1</formula>
    </cfRule>
  </conditionalFormatting>
  <conditionalFormatting sqref="T32">
    <cfRule type="cellIs" dxfId="713" priority="1110" operator="equal">
      <formula>1</formula>
    </cfRule>
  </conditionalFormatting>
  <conditionalFormatting sqref="T60">
    <cfRule type="cellIs" dxfId="712" priority="1108" operator="equal">
      <formula>1</formula>
    </cfRule>
  </conditionalFormatting>
  <conditionalFormatting sqref="T73:T74">
    <cfRule type="colorScale" priority="1214">
      <colorScale>
        <cfvo type="num" val="1"/>
        <cfvo type="num" val="10"/>
        <color rgb="FF00B050"/>
        <color rgb="FFFFEF9C"/>
      </colorScale>
    </cfRule>
    <cfRule type="colorScale" priority="1215">
      <colorScale>
        <cfvo type="num" val="2"/>
        <cfvo type="max"/>
        <color rgb="FF0070C0"/>
        <color rgb="FFFFEF9C"/>
      </colorScale>
    </cfRule>
  </conditionalFormatting>
  <conditionalFormatting sqref="T18">
    <cfRule type="cellIs" dxfId="711" priority="1098" operator="equal">
      <formula>1</formula>
    </cfRule>
  </conditionalFormatting>
  <conditionalFormatting sqref="T18">
    <cfRule type="cellIs" dxfId="710" priority="1097" operator="equal">
      <formula>1</formula>
    </cfRule>
  </conditionalFormatting>
  <conditionalFormatting sqref="T77">
    <cfRule type="cellIs" dxfId="709" priority="1094" operator="equal">
      <formula>1</formula>
    </cfRule>
  </conditionalFormatting>
  <conditionalFormatting sqref="T77">
    <cfRule type="colorScale" priority="1095">
      <colorScale>
        <cfvo type="num" val="1"/>
        <cfvo type="num" val="10"/>
        <color rgb="FF00B050"/>
        <color rgb="FFFFEF9C"/>
      </colorScale>
    </cfRule>
    <cfRule type="colorScale" priority="1096">
      <colorScale>
        <cfvo type="num" val="2"/>
        <cfvo type="max"/>
        <color rgb="FF0070C0"/>
        <color rgb="FFFFEF9C"/>
      </colorScale>
    </cfRule>
  </conditionalFormatting>
  <conditionalFormatting sqref="T76">
    <cfRule type="cellIs" dxfId="708" priority="1091" operator="equal">
      <formula>1</formula>
    </cfRule>
  </conditionalFormatting>
  <conditionalFormatting sqref="T76">
    <cfRule type="colorScale" priority="1092">
      <colorScale>
        <cfvo type="num" val="1"/>
        <cfvo type="num" val="10"/>
        <color rgb="FF00B050"/>
        <color rgb="FFFFEF9C"/>
      </colorScale>
    </cfRule>
    <cfRule type="colorScale" priority="1093">
      <colorScale>
        <cfvo type="num" val="2"/>
        <cfvo type="max"/>
        <color rgb="FF0070C0"/>
        <color rgb="FFFFEF9C"/>
      </colorScale>
    </cfRule>
  </conditionalFormatting>
  <conditionalFormatting sqref="T31">
    <cfRule type="cellIs" dxfId="707" priority="1090" operator="equal">
      <formula>1</formula>
    </cfRule>
  </conditionalFormatting>
  <conditionalFormatting sqref="T31">
    <cfRule type="cellIs" dxfId="706" priority="1089" operator="equal">
      <formula>1</formula>
    </cfRule>
  </conditionalFormatting>
  <conditionalFormatting sqref="T33">
    <cfRule type="cellIs" dxfId="705" priority="1088" operator="equal">
      <formula>1</formula>
    </cfRule>
  </conditionalFormatting>
  <conditionalFormatting sqref="T33">
    <cfRule type="cellIs" dxfId="704" priority="1087" operator="equal">
      <formula>1</formula>
    </cfRule>
  </conditionalFormatting>
  <conditionalFormatting sqref="T82">
    <cfRule type="cellIs" dxfId="703" priority="1086" operator="equal">
      <formula>1</formula>
    </cfRule>
  </conditionalFormatting>
  <conditionalFormatting sqref="T84:T86">
    <cfRule type="cellIs" dxfId="702" priority="1083" operator="equal">
      <formula>1</formula>
    </cfRule>
  </conditionalFormatting>
  <conditionalFormatting sqref="T83">
    <cfRule type="cellIs" dxfId="701" priority="1082" operator="equal">
      <formula>1</formula>
    </cfRule>
  </conditionalFormatting>
  <conditionalFormatting sqref="T83">
    <cfRule type="cellIs" dxfId="700" priority="1081" operator="equal">
      <formula>1</formula>
    </cfRule>
  </conditionalFormatting>
  <conditionalFormatting sqref="T84:T86 T82">
    <cfRule type="colorScale" priority="1084">
      <colorScale>
        <cfvo type="num" val="1"/>
        <cfvo type="num" val="10"/>
        <color rgb="FF00B050"/>
        <color rgb="FFFFEF9C"/>
      </colorScale>
    </cfRule>
    <cfRule type="colorScale" priority="1085">
      <colorScale>
        <cfvo type="num" val="2"/>
        <cfvo type="max"/>
        <color rgb="FF0070C0"/>
        <color rgb="FFFFEF9C"/>
      </colorScale>
    </cfRule>
  </conditionalFormatting>
  <conditionalFormatting sqref="T5">
    <cfRule type="cellIs" dxfId="699" priority="1080" operator="equal">
      <formula>1</formula>
    </cfRule>
  </conditionalFormatting>
  <conditionalFormatting sqref="T5">
    <cfRule type="cellIs" dxfId="698" priority="1079" operator="equal">
      <formula>1</formula>
    </cfRule>
  </conditionalFormatting>
  <conditionalFormatting sqref="R39">
    <cfRule type="cellIs" dxfId="697" priority="1078" operator="equal">
      <formula>1</formula>
    </cfRule>
  </conditionalFormatting>
  <conditionalFormatting sqref="R39">
    <cfRule type="cellIs" dxfId="696" priority="1077" operator="equal">
      <formula>1</formula>
    </cfRule>
  </conditionalFormatting>
  <conditionalFormatting sqref="S39">
    <cfRule type="cellIs" dxfId="695" priority="1076" operator="equal">
      <formula>1</formula>
    </cfRule>
  </conditionalFormatting>
  <conditionalFormatting sqref="S39">
    <cfRule type="cellIs" dxfId="694" priority="1075" operator="equal">
      <formula>1</formula>
    </cfRule>
  </conditionalFormatting>
  <conditionalFormatting sqref="T39">
    <cfRule type="cellIs" dxfId="693" priority="1074" operator="equal">
      <formula>1</formula>
    </cfRule>
  </conditionalFormatting>
  <conditionalFormatting sqref="T39">
    <cfRule type="cellIs" dxfId="692" priority="1073" operator="equal">
      <formula>1</formula>
    </cfRule>
  </conditionalFormatting>
  <conditionalFormatting sqref="U25:U26 U40:U41">
    <cfRule type="cellIs" dxfId="691" priority="1072" operator="equal">
      <formula>1</formula>
    </cfRule>
  </conditionalFormatting>
  <conditionalFormatting sqref="U69:U74">
    <cfRule type="cellIs" dxfId="690" priority="1067" operator="equal">
      <formula>1</formula>
    </cfRule>
  </conditionalFormatting>
  <conditionalFormatting sqref="U51">
    <cfRule type="cellIs" dxfId="689" priority="1066" operator="equal">
      <formula>1</formula>
    </cfRule>
  </conditionalFormatting>
  <conditionalFormatting sqref="U37:U38 U43:U48">
    <cfRule type="cellIs" dxfId="688" priority="1064" operator="equal">
      <formula>1</formula>
    </cfRule>
  </conditionalFormatting>
  <conditionalFormatting sqref="U65:U67">
    <cfRule type="cellIs" dxfId="687" priority="1055" operator="equal">
      <formula>1</formula>
    </cfRule>
  </conditionalFormatting>
  <conditionalFormatting sqref="U34:U35">
    <cfRule type="cellIs" dxfId="686" priority="1054" operator="equal">
      <formula>1</formula>
    </cfRule>
  </conditionalFormatting>
  <conditionalFormatting sqref="U10">
    <cfRule type="cellIs" dxfId="685" priority="1041" operator="equal">
      <formula>1</formula>
    </cfRule>
  </conditionalFormatting>
  <conditionalFormatting sqref="U40">
    <cfRule type="cellIs" dxfId="684" priority="1042" operator="equal">
      <formula>1</formula>
    </cfRule>
  </conditionalFormatting>
  <conditionalFormatting sqref="U44">
    <cfRule type="cellIs" dxfId="683" priority="1043" operator="equal">
      <formula>1</formula>
    </cfRule>
  </conditionalFormatting>
  <conditionalFormatting sqref="U59">
    <cfRule type="cellIs" dxfId="682" priority="1044" operator="equal">
      <formula>1</formula>
    </cfRule>
  </conditionalFormatting>
  <conditionalFormatting sqref="U12">
    <cfRule type="cellIs" dxfId="681" priority="1045" operator="equal">
      <formula>1</formula>
    </cfRule>
  </conditionalFormatting>
  <conditionalFormatting sqref="U25">
    <cfRule type="cellIs" dxfId="680" priority="1046" operator="equal">
      <formula>1</formula>
    </cfRule>
  </conditionalFormatting>
  <conditionalFormatting sqref="U13">
    <cfRule type="cellIs" dxfId="679" priority="1047" operator="equal">
      <formula>1</formula>
    </cfRule>
  </conditionalFormatting>
  <conditionalFormatting sqref="U14">
    <cfRule type="cellIs" dxfId="678" priority="1048" operator="equal">
      <formula>1</formula>
    </cfRule>
  </conditionalFormatting>
  <conditionalFormatting sqref="U57">
    <cfRule type="cellIs" dxfId="677" priority="1049" operator="equal">
      <formula>1</formula>
    </cfRule>
  </conditionalFormatting>
  <conditionalFormatting sqref="U57">
    <cfRule type="cellIs" dxfId="676" priority="1050" operator="equal">
      <formula>1</formula>
    </cfRule>
  </conditionalFormatting>
  <conditionalFormatting sqref="U38">
    <cfRule type="cellIs" dxfId="675" priority="1051" operator="equal">
      <formula>1</formula>
    </cfRule>
  </conditionalFormatting>
  <conditionalFormatting sqref="U23">
    <cfRule type="cellIs" dxfId="674" priority="1052" operator="equal">
      <formula>1</formula>
    </cfRule>
  </conditionalFormatting>
  <conditionalFormatting sqref="U8">
    <cfRule type="cellIs" dxfId="673" priority="1053" operator="equal">
      <formula>1</formula>
    </cfRule>
  </conditionalFormatting>
  <conditionalFormatting sqref="U9">
    <cfRule type="cellIs" dxfId="672" priority="1040" operator="equal">
      <formula>1</formula>
    </cfRule>
  </conditionalFormatting>
  <conditionalFormatting sqref="U15:U16">
    <cfRule type="cellIs" dxfId="671" priority="1039" operator="equal">
      <formula>1</formula>
    </cfRule>
  </conditionalFormatting>
  <conditionalFormatting sqref="U26 U20">
    <cfRule type="cellIs" dxfId="670" priority="1036" operator="equal">
      <formula>1</formula>
    </cfRule>
  </conditionalFormatting>
  <conditionalFormatting sqref="U43">
    <cfRule type="cellIs" dxfId="669" priority="1037" operator="equal">
      <formula>1</formula>
    </cfRule>
  </conditionalFormatting>
  <conditionalFormatting sqref="U26">
    <cfRule type="cellIs" dxfId="668" priority="1038" operator="equal">
      <formula>1</formula>
    </cfRule>
  </conditionalFormatting>
  <conditionalFormatting sqref="U23">
    <cfRule type="cellIs" dxfId="667" priority="1035" operator="equal">
      <formula>1</formula>
    </cfRule>
  </conditionalFormatting>
  <conditionalFormatting sqref="U8">
    <cfRule type="cellIs" dxfId="666" priority="1030" operator="equal">
      <formula>1</formula>
    </cfRule>
  </conditionalFormatting>
  <conditionalFormatting sqref="U8">
    <cfRule type="cellIs" dxfId="665" priority="1031" operator="equal">
      <formula>1</formula>
    </cfRule>
  </conditionalFormatting>
  <conditionalFormatting sqref="U8">
    <cfRule type="cellIs" dxfId="664" priority="1032" operator="equal">
      <formula>1</formula>
    </cfRule>
  </conditionalFormatting>
  <conditionalFormatting sqref="U8">
    <cfRule type="cellIs" dxfId="663" priority="1033" operator="equal">
      <formula>1</formula>
    </cfRule>
  </conditionalFormatting>
  <conditionalFormatting sqref="U20 U26">
    <cfRule type="cellIs" dxfId="662" priority="1034" operator="equal">
      <formula>1</formula>
    </cfRule>
  </conditionalFormatting>
  <conditionalFormatting sqref="U8:U10 U12:U16 U57 U59 U20 U53">
    <cfRule type="cellIs" dxfId="661" priority="1029" operator="equal">
      <formula>1</formula>
    </cfRule>
  </conditionalFormatting>
  <conditionalFormatting sqref="U22">
    <cfRule type="cellIs" dxfId="660" priority="1028" operator="equal">
      <formula>1</formula>
    </cfRule>
  </conditionalFormatting>
  <conditionalFormatting sqref="U58">
    <cfRule type="cellIs" dxfId="659" priority="1013" operator="equal">
      <formula>1</formula>
    </cfRule>
  </conditionalFormatting>
  <conditionalFormatting sqref="U58">
    <cfRule type="cellIs" dxfId="658" priority="1014" operator="equal">
      <formula>1</formula>
    </cfRule>
  </conditionalFormatting>
  <conditionalFormatting sqref="U19">
    <cfRule type="cellIs" dxfId="657" priority="1027" operator="equal">
      <formula>1</formula>
    </cfRule>
  </conditionalFormatting>
  <conditionalFormatting sqref="U55">
    <cfRule type="cellIs" dxfId="656" priority="1022" operator="equal">
      <formula>1</formula>
    </cfRule>
  </conditionalFormatting>
  <conditionalFormatting sqref="U55">
    <cfRule type="cellIs" dxfId="655" priority="1023" operator="equal">
      <formula>1</formula>
    </cfRule>
  </conditionalFormatting>
  <conditionalFormatting sqref="U55">
    <cfRule type="cellIs" dxfId="654" priority="1024" operator="equal">
      <formula>1</formula>
    </cfRule>
  </conditionalFormatting>
  <conditionalFormatting sqref="U55">
    <cfRule type="cellIs" dxfId="653" priority="1025" operator="equal">
      <formula>1</formula>
    </cfRule>
  </conditionalFormatting>
  <conditionalFormatting sqref="U55">
    <cfRule type="cellIs" dxfId="652" priority="1026" operator="equal">
      <formula>1</formula>
    </cfRule>
  </conditionalFormatting>
  <conditionalFormatting sqref="U42">
    <cfRule type="cellIs" dxfId="651" priority="1020" operator="equal">
      <formula>1</formula>
    </cfRule>
  </conditionalFormatting>
  <conditionalFormatting sqref="U42">
    <cfRule type="cellIs" dxfId="650" priority="1021" operator="equal">
      <formula>1</formula>
    </cfRule>
  </conditionalFormatting>
  <conditionalFormatting sqref="U56">
    <cfRule type="cellIs" dxfId="649" priority="1015" operator="equal">
      <formula>1</formula>
    </cfRule>
  </conditionalFormatting>
  <conditionalFormatting sqref="U56">
    <cfRule type="cellIs" dxfId="648" priority="1016" operator="equal">
      <formula>1</formula>
    </cfRule>
  </conditionalFormatting>
  <conditionalFormatting sqref="U56">
    <cfRule type="cellIs" dxfId="647" priority="1017" operator="equal">
      <formula>1</formula>
    </cfRule>
  </conditionalFormatting>
  <conditionalFormatting sqref="U56">
    <cfRule type="cellIs" dxfId="646" priority="1018" operator="equal">
      <formula>1</formula>
    </cfRule>
  </conditionalFormatting>
  <conditionalFormatting sqref="U56">
    <cfRule type="cellIs" dxfId="645" priority="1019" operator="equal">
      <formula>1</formula>
    </cfRule>
  </conditionalFormatting>
  <conditionalFormatting sqref="U28:U30">
    <cfRule type="cellIs" dxfId="644" priority="1012" operator="equal">
      <formula>1</formula>
    </cfRule>
  </conditionalFormatting>
  <conditionalFormatting sqref="U52">
    <cfRule type="cellIs" dxfId="643" priority="1011" operator="equal">
      <formula>1</formula>
    </cfRule>
  </conditionalFormatting>
  <conditionalFormatting sqref="U52">
    <cfRule type="cellIs" dxfId="642" priority="1010" operator="equal">
      <formula>1</formula>
    </cfRule>
  </conditionalFormatting>
  <conditionalFormatting sqref="U36">
    <cfRule type="cellIs" dxfId="641" priority="1009" operator="equal">
      <formula>1</formula>
    </cfRule>
  </conditionalFormatting>
  <conditionalFormatting sqref="U36">
    <cfRule type="cellIs" dxfId="640" priority="1008" operator="equal">
      <formula>1</formula>
    </cfRule>
  </conditionalFormatting>
  <conditionalFormatting sqref="U54">
    <cfRule type="cellIs" dxfId="639" priority="1003" operator="equal">
      <formula>1</formula>
    </cfRule>
  </conditionalFormatting>
  <conditionalFormatting sqref="U54">
    <cfRule type="cellIs" dxfId="638" priority="1004" operator="equal">
      <formula>1</formula>
    </cfRule>
  </conditionalFormatting>
  <conditionalFormatting sqref="U54">
    <cfRule type="cellIs" dxfId="637" priority="1005" operator="equal">
      <formula>1</formula>
    </cfRule>
  </conditionalFormatting>
  <conditionalFormatting sqref="U54">
    <cfRule type="cellIs" dxfId="636" priority="1006" operator="equal">
      <formula>1</formula>
    </cfRule>
  </conditionalFormatting>
  <conditionalFormatting sqref="U54">
    <cfRule type="cellIs" dxfId="635" priority="1007" operator="equal">
      <formula>1</formula>
    </cfRule>
  </conditionalFormatting>
  <conditionalFormatting sqref="U17">
    <cfRule type="cellIs" dxfId="634" priority="1002" operator="equal">
      <formula>1</formula>
    </cfRule>
  </conditionalFormatting>
  <conditionalFormatting sqref="U17">
    <cfRule type="cellIs" dxfId="633" priority="1001" operator="equal">
      <formula>1</formula>
    </cfRule>
  </conditionalFormatting>
  <conditionalFormatting sqref="U49">
    <cfRule type="cellIs" dxfId="632" priority="1000" operator="equal">
      <formula>1</formula>
    </cfRule>
  </conditionalFormatting>
  <conditionalFormatting sqref="U80:U81">
    <cfRule type="cellIs" dxfId="631" priority="993" operator="equal">
      <formula>1</formula>
    </cfRule>
  </conditionalFormatting>
  <conditionalFormatting sqref="U75">
    <cfRule type="cellIs" dxfId="630" priority="992" operator="equal">
      <formula>1</formula>
    </cfRule>
  </conditionalFormatting>
  <conditionalFormatting sqref="U79">
    <cfRule type="cellIs" dxfId="629" priority="989" operator="equal">
      <formula>1</formula>
    </cfRule>
  </conditionalFormatting>
  <conditionalFormatting sqref="U21">
    <cfRule type="cellIs" dxfId="628" priority="988" operator="equal">
      <formula>1</formula>
    </cfRule>
  </conditionalFormatting>
  <conditionalFormatting sqref="U68">
    <cfRule type="cellIs" dxfId="627" priority="985" operator="equal">
      <formula>1</formula>
    </cfRule>
  </conditionalFormatting>
  <conditionalFormatting sqref="U6">
    <cfRule type="cellIs" dxfId="626" priority="984" operator="equal">
      <formula>1</formula>
    </cfRule>
  </conditionalFormatting>
  <conditionalFormatting sqref="U27">
    <cfRule type="cellIs" dxfId="625" priority="983" operator="equal">
      <formula>1</formula>
    </cfRule>
  </conditionalFormatting>
  <conditionalFormatting sqref="U69:U72">
    <cfRule type="colorScale" priority="1056">
      <colorScale>
        <cfvo type="num" val="1"/>
        <cfvo type="num" val="10"/>
        <color rgb="FF00B050"/>
        <color rgb="FFFFEF9C"/>
      </colorScale>
    </cfRule>
    <cfRule type="colorScale" priority="1057">
      <colorScale>
        <cfvo type="num" val="2"/>
        <cfvo type="max"/>
        <color rgb="FF0070C0"/>
        <color rgb="FFFFEF9C"/>
      </colorScale>
    </cfRule>
  </conditionalFormatting>
  <conditionalFormatting sqref="U68">
    <cfRule type="colorScale" priority="1062">
      <colorScale>
        <cfvo type="num" val="1"/>
        <cfvo type="num" val="10"/>
        <color rgb="FF00B050"/>
        <color rgb="FFFFEF9C"/>
      </colorScale>
    </cfRule>
    <cfRule type="colorScale" priority="1063">
      <colorScale>
        <cfvo type="num" val="2"/>
        <cfvo type="max"/>
        <color rgb="FF0070C0"/>
        <color rgb="FFFFEF9C"/>
      </colorScale>
    </cfRule>
  </conditionalFormatting>
  <conditionalFormatting sqref="U50">
    <cfRule type="cellIs" dxfId="624" priority="982" operator="equal">
      <formula>1</formula>
    </cfRule>
  </conditionalFormatting>
  <conditionalFormatting sqref="U78">
    <cfRule type="cellIs" dxfId="623" priority="979" operator="equal">
      <formula>1</formula>
    </cfRule>
  </conditionalFormatting>
  <conditionalFormatting sqref="U78">
    <cfRule type="colorScale" priority="980">
      <colorScale>
        <cfvo type="num" val="1"/>
        <cfvo type="num" val="10"/>
        <color rgb="FF00B050"/>
        <color rgb="FFFFEF9C"/>
      </colorScale>
    </cfRule>
    <cfRule type="colorScale" priority="981">
      <colorScale>
        <cfvo type="num" val="2"/>
        <cfvo type="max"/>
        <color rgb="FF0070C0"/>
        <color rgb="FFFFEF9C"/>
      </colorScale>
    </cfRule>
  </conditionalFormatting>
  <conditionalFormatting sqref="U11">
    <cfRule type="cellIs" dxfId="622" priority="972" operator="equal">
      <formula>1</formula>
    </cfRule>
  </conditionalFormatting>
  <conditionalFormatting sqref="U11">
    <cfRule type="cellIs" dxfId="621" priority="968" operator="equal">
      <formula>1</formula>
    </cfRule>
  </conditionalFormatting>
  <conditionalFormatting sqref="U11">
    <cfRule type="cellIs" dxfId="620" priority="969" operator="equal">
      <formula>1</formula>
    </cfRule>
  </conditionalFormatting>
  <conditionalFormatting sqref="U11">
    <cfRule type="cellIs" dxfId="619" priority="970" operator="equal">
      <formula>1</formula>
    </cfRule>
  </conditionalFormatting>
  <conditionalFormatting sqref="U11">
    <cfRule type="cellIs" dxfId="618" priority="971" operator="equal">
      <formula>1</formula>
    </cfRule>
  </conditionalFormatting>
  <conditionalFormatting sqref="U11">
    <cfRule type="cellIs" dxfId="617" priority="967" operator="equal">
      <formula>1</formula>
    </cfRule>
  </conditionalFormatting>
  <conditionalFormatting sqref="U32">
    <cfRule type="cellIs" dxfId="616" priority="966" operator="equal">
      <formula>1</formula>
    </cfRule>
  </conditionalFormatting>
  <conditionalFormatting sqref="U60">
    <cfRule type="cellIs" dxfId="615" priority="964" operator="equal">
      <formula>1</formula>
    </cfRule>
  </conditionalFormatting>
  <conditionalFormatting sqref="U73:U74">
    <cfRule type="colorScale" priority="1070">
      <colorScale>
        <cfvo type="num" val="1"/>
        <cfvo type="num" val="10"/>
        <color rgb="FF00B050"/>
        <color rgb="FFFFEF9C"/>
      </colorScale>
    </cfRule>
    <cfRule type="colorScale" priority="1071">
      <colorScale>
        <cfvo type="num" val="2"/>
        <cfvo type="max"/>
        <color rgb="FF0070C0"/>
        <color rgb="FFFFEF9C"/>
      </colorScale>
    </cfRule>
  </conditionalFormatting>
  <conditionalFormatting sqref="U18">
    <cfRule type="cellIs" dxfId="614" priority="954" operator="equal">
      <formula>1</formula>
    </cfRule>
  </conditionalFormatting>
  <conditionalFormatting sqref="U18">
    <cfRule type="cellIs" dxfId="613" priority="953" operator="equal">
      <formula>1</formula>
    </cfRule>
  </conditionalFormatting>
  <conditionalFormatting sqref="U77">
    <cfRule type="cellIs" dxfId="612" priority="950" operator="equal">
      <formula>1</formula>
    </cfRule>
  </conditionalFormatting>
  <conditionalFormatting sqref="U77">
    <cfRule type="colorScale" priority="951">
      <colorScale>
        <cfvo type="num" val="1"/>
        <cfvo type="num" val="10"/>
        <color rgb="FF00B050"/>
        <color rgb="FFFFEF9C"/>
      </colorScale>
    </cfRule>
    <cfRule type="colorScale" priority="952">
      <colorScale>
        <cfvo type="num" val="2"/>
        <cfvo type="max"/>
        <color rgb="FF0070C0"/>
        <color rgb="FFFFEF9C"/>
      </colorScale>
    </cfRule>
  </conditionalFormatting>
  <conditionalFormatting sqref="U76">
    <cfRule type="cellIs" dxfId="611" priority="947" operator="equal">
      <formula>1</formula>
    </cfRule>
  </conditionalFormatting>
  <conditionalFormatting sqref="U76">
    <cfRule type="colorScale" priority="948">
      <colorScale>
        <cfvo type="num" val="1"/>
        <cfvo type="num" val="10"/>
        <color rgb="FF00B050"/>
        <color rgb="FFFFEF9C"/>
      </colorScale>
    </cfRule>
    <cfRule type="colorScale" priority="949">
      <colorScale>
        <cfvo type="num" val="2"/>
        <cfvo type="max"/>
        <color rgb="FF0070C0"/>
        <color rgb="FFFFEF9C"/>
      </colorScale>
    </cfRule>
  </conditionalFormatting>
  <conditionalFormatting sqref="U31">
    <cfRule type="cellIs" dxfId="610" priority="946" operator="equal">
      <formula>1</formula>
    </cfRule>
  </conditionalFormatting>
  <conditionalFormatting sqref="U31">
    <cfRule type="cellIs" dxfId="609" priority="945" operator="equal">
      <formula>1</formula>
    </cfRule>
  </conditionalFormatting>
  <conditionalFormatting sqref="U33">
    <cfRule type="cellIs" dxfId="608" priority="944" operator="equal">
      <formula>1</formula>
    </cfRule>
  </conditionalFormatting>
  <conditionalFormatting sqref="U33">
    <cfRule type="cellIs" dxfId="607" priority="943" operator="equal">
      <formula>1</formula>
    </cfRule>
  </conditionalFormatting>
  <conditionalFormatting sqref="U82">
    <cfRule type="cellIs" dxfId="606" priority="942" operator="equal">
      <formula>1</formula>
    </cfRule>
  </conditionalFormatting>
  <conditionalFormatting sqref="U84:U86">
    <cfRule type="cellIs" dxfId="605" priority="939" operator="equal">
      <formula>1</formula>
    </cfRule>
  </conditionalFormatting>
  <conditionalFormatting sqref="U83">
    <cfRule type="cellIs" dxfId="604" priority="938" operator="equal">
      <formula>1</formula>
    </cfRule>
  </conditionalFormatting>
  <conditionalFormatting sqref="U83">
    <cfRule type="cellIs" dxfId="603" priority="937" operator="equal">
      <formula>1</formula>
    </cfRule>
  </conditionalFormatting>
  <conditionalFormatting sqref="U84:U86 U82">
    <cfRule type="colorScale" priority="940">
      <colorScale>
        <cfvo type="num" val="1"/>
        <cfvo type="num" val="10"/>
        <color rgb="FF00B050"/>
        <color rgb="FFFFEF9C"/>
      </colorScale>
    </cfRule>
    <cfRule type="colorScale" priority="941">
      <colorScale>
        <cfvo type="num" val="2"/>
        <cfvo type="max"/>
        <color rgb="FF0070C0"/>
        <color rgb="FFFFEF9C"/>
      </colorScale>
    </cfRule>
  </conditionalFormatting>
  <conditionalFormatting sqref="V55">
    <cfRule type="cellIs" dxfId="602" priority="883" operator="equal">
      <formula>1</formula>
    </cfRule>
  </conditionalFormatting>
  <conditionalFormatting sqref="U5">
    <cfRule type="cellIs" dxfId="601" priority="936" operator="equal">
      <formula>1</formula>
    </cfRule>
  </conditionalFormatting>
  <conditionalFormatting sqref="V55">
    <cfRule type="cellIs" dxfId="600" priority="882" operator="equal">
      <formula>1</formula>
    </cfRule>
  </conditionalFormatting>
  <conditionalFormatting sqref="U5">
    <cfRule type="cellIs" dxfId="599" priority="935" operator="equal">
      <formula>1</formula>
    </cfRule>
  </conditionalFormatting>
  <conditionalFormatting sqref="U39">
    <cfRule type="cellIs" dxfId="598" priority="934" operator="equal">
      <formula>1</formula>
    </cfRule>
  </conditionalFormatting>
  <conditionalFormatting sqref="U39">
    <cfRule type="cellIs" dxfId="597" priority="933" operator="equal">
      <formula>1</formula>
    </cfRule>
  </conditionalFormatting>
  <conditionalFormatting sqref="V25:V26 V40:V41">
    <cfRule type="cellIs" dxfId="596" priority="932" operator="equal">
      <formula>1</formula>
    </cfRule>
  </conditionalFormatting>
  <conditionalFormatting sqref="V69:V74">
    <cfRule type="cellIs" dxfId="595" priority="927" operator="equal">
      <formula>1</formula>
    </cfRule>
  </conditionalFormatting>
  <conditionalFormatting sqref="V51">
    <cfRule type="cellIs" dxfId="594" priority="926" operator="equal">
      <formula>1</formula>
    </cfRule>
  </conditionalFormatting>
  <conditionalFormatting sqref="V65:V67">
    <cfRule type="cellIs" dxfId="593" priority="915" operator="equal">
      <formula>1</formula>
    </cfRule>
  </conditionalFormatting>
  <conditionalFormatting sqref="V34:V35">
    <cfRule type="cellIs" dxfId="592" priority="914" operator="equal">
      <formula>1</formula>
    </cfRule>
  </conditionalFormatting>
  <conditionalFormatting sqref="V10">
    <cfRule type="cellIs" dxfId="591" priority="901" operator="equal">
      <formula>1</formula>
    </cfRule>
  </conditionalFormatting>
  <conditionalFormatting sqref="V40">
    <cfRule type="cellIs" dxfId="590" priority="902" operator="equal">
      <formula>1</formula>
    </cfRule>
  </conditionalFormatting>
  <conditionalFormatting sqref="V44">
    <cfRule type="cellIs" dxfId="589" priority="903" operator="equal">
      <formula>1</formula>
    </cfRule>
  </conditionalFormatting>
  <conditionalFormatting sqref="V59">
    <cfRule type="cellIs" dxfId="588" priority="904" operator="equal">
      <formula>1</formula>
    </cfRule>
  </conditionalFormatting>
  <conditionalFormatting sqref="V12">
    <cfRule type="cellIs" dxfId="587" priority="905" operator="equal">
      <formula>1</formula>
    </cfRule>
  </conditionalFormatting>
  <conditionalFormatting sqref="V25">
    <cfRule type="cellIs" dxfId="586" priority="906" operator="equal">
      <formula>1</formula>
    </cfRule>
  </conditionalFormatting>
  <conditionalFormatting sqref="V13">
    <cfRule type="cellIs" dxfId="585" priority="907" operator="equal">
      <formula>1</formula>
    </cfRule>
  </conditionalFormatting>
  <conditionalFormatting sqref="V14">
    <cfRule type="cellIs" dxfId="584" priority="908" operator="equal">
      <formula>1</formula>
    </cfRule>
  </conditionalFormatting>
  <conditionalFormatting sqref="V57">
    <cfRule type="cellIs" dxfId="583" priority="909" operator="equal">
      <formula>1</formula>
    </cfRule>
  </conditionalFormatting>
  <conditionalFormatting sqref="V57">
    <cfRule type="cellIs" dxfId="582" priority="910" operator="equal">
      <formula>1</formula>
    </cfRule>
  </conditionalFormatting>
  <conditionalFormatting sqref="V38">
    <cfRule type="cellIs" dxfId="581" priority="911" operator="equal">
      <formula>1</formula>
    </cfRule>
  </conditionalFormatting>
  <conditionalFormatting sqref="V23">
    <cfRule type="cellIs" dxfId="580" priority="912" operator="equal">
      <formula>1</formula>
    </cfRule>
  </conditionalFormatting>
  <conditionalFormatting sqref="V8">
    <cfRule type="cellIs" dxfId="579" priority="913" operator="equal">
      <formula>1</formula>
    </cfRule>
  </conditionalFormatting>
  <conditionalFormatting sqref="V9">
    <cfRule type="cellIs" dxfId="578" priority="900" operator="equal">
      <formula>1</formula>
    </cfRule>
  </conditionalFormatting>
  <conditionalFormatting sqref="V15:V16">
    <cfRule type="cellIs" dxfId="577" priority="899" operator="equal">
      <formula>1</formula>
    </cfRule>
  </conditionalFormatting>
  <conditionalFormatting sqref="V26 V20">
    <cfRule type="cellIs" dxfId="576" priority="896" operator="equal">
      <formula>1</formula>
    </cfRule>
  </conditionalFormatting>
  <conditionalFormatting sqref="V43">
    <cfRule type="cellIs" dxfId="575" priority="897" operator="equal">
      <formula>1</formula>
    </cfRule>
  </conditionalFormatting>
  <conditionalFormatting sqref="V26">
    <cfRule type="cellIs" dxfId="574" priority="898" operator="equal">
      <formula>1</formula>
    </cfRule>
  </conditionalFormatting>
  <conditionalFormatting sqref="V23">
    <cfRule type="cellIs" dxfId="573" priority="895" operator="equal">
      <formula>1</formula>
    </cfRule>
  </conditionalFormatting>
  <conditionalFormatting sqref="V8">
    <cfRule type="cellIs" dxfId="572" priority="890" operator="equal">
      <formula>1</formula>
    </cfRule>
  </conditionalFormatting>
  <conditionalFormatting sqref="V8">
    <cfRule type="cellIs" dxfId="571" priority="891" operator="equal">
      <formula>1</formula>
    </cfRule>
  </conditionalFormatting>
  <conditionalFormatting sqref="V8">
    <cfRule type="cellIs" dxfId="570" priority="892" operator="equal">
      <formula>1</formula>
    </cfRule>
  </conditionalFormatting>
  <conditionalFormatting sqref="V8">
    <cfRule type="cellIs" dxfId="569" priority="893" operator="equal">
      <formula>1</formula>
    </cfRule>
  </conditionalFormatting>
  <conditionalFormatting sqref="V20 V26">
    <cfRule type="cellIs" dxfId="568" priority="894" operator="equal">
      <formula>1</formula>
    </cfRule>
  </conditionalFormatting>
  <conditionalFormatting sqref="V8:V10 V12:V16 V57 V59 V20 V53">
    <cfRule type="cellIs" dxfId="567" priority="889" operator="equal">
      <formula>1</formula>
    </cfRule>
  </conditionalFormatting>
  <conditionalFormatting sqref="V22">
    <cfRule type="cellIs" dxfId="566" priority="888" operator="equal">
      <formula>1</formula>
    </cfRule>
  </conditionalFormatting>
  <conditionalFormatting sqref="V58">
    <cfRule type="cellIs" dxfId="565" priority="873" operator="equal">
      <formula>1</formula>
    </cfRule>
  </conditionalFormatting>
  <conditionalFormatting sqref="V58">
    <cfRule type="cellIs" dxfId="564" priority="874" operator="equal">
      <formula>1</formula>
    </cfRule>
  </conditionalFormatting>
  <conditionalFormatting sqref="V19">
    <cfRule type="cellIs" dxfId="563" priority="887" operator="equal">
      <formula>1</formula>
    </cfRule>
  </conditionalFormatting>
  <conditionalFormatting sqref="V55">
    <cfRule type="cellIs" dxfId="562" priority="884" operator="equal">
      <formula>1</formula>
    </cfRule>
  </conditionalFormatting>
  <conditionalFormatting sqref="V55">
    <cfRule type="cellIs" dxfId="561" priority="885" operator="equal">
      <formula>1</formula>
    </cfRule>
  </conditionalFormatting>
  <conditionalFormatting sqref="V55">
    <cfRule type="cellIs" dxfId="560" priority="886" operator="equal">
      <formula>1</formula>
    </cfRule>
  </conditionalFormatting>
  <conditionalFormatting sqref="V42">
    <cfRule type="cellIs" dxfId="559" priority="880" operator="equal">
      <formula>1</formula>
    </cfRule>
  </conditionalFormatting>
  <conditionalFormatting sqref="V42">
    <cfRule type="cellIs" dxfId="558" priority="881" operator="equal">
      <formula>1</formula>
    </cfRule>
  </conditionalFormatting>
  <conditionalFormatting sqref="V56">
    <cfRule type="cellIs" dxfId="557" priority="875" operator="equal">
      <formula>1</formula>
    </cfRule>
  </conditionalFormatting>
  <conditionalFormatting sqref="V56">
    <cfRule type="cellIs" dxfId="556" priority="876" operator="equal">
      <formula>1</formula>
    </cfRule>
  </conditionalFormatting>
  <conditionalFormatting sqref="V56">
    <cfRule type="cellIs" dxfId="555" priority="877" operator="equal">
      <formula>1</formula>
    </cfRule>
  </conditionalFormatting>
  <conditionalFormatting sqref="V56">
    <cfRule type="cellIs" dxfId="554" priority="878" operator="equal">
      <formula>1</formula>
    </cfRule>
  </conditionalFormatting>
  <conditionalFormatting sqref="V56">
    <cfRule type="cellIs" dxfId="553" priority="879" operator="equal">
      <formula>1</formula>
    </cfRule>
  </conditionalFormatting>
  <conditionalFormatting sqref="V28:V30">
    <cfRule type="cellIs" dxfId="552" priority="872" operator="equal">
      <formula>1</formula>
    </cfRule>
  </conditionalFormatting>
  <conditionalFormatting sqref="V52">
    <cfRule type="cellIs" dxfId="551" priority="871" operator="equal">
      <formula>1</formula>
    </cfRule>
  </conditionalFormatting>
  <conditionalFormatting sqref="V52">
    <cfRule type="cellIs" dxfId="550" priority="870" operator="equal">
      <formula>1</formula>
    </cfRule>
  </conditionalFormatting>
  <conditionalFormatting sqref="V36">
    <cfRule type="cellIs" dxfId="549" priority="869" operator="equal">
      <formula>1</formula>
    </cfRule>
  </conditionalFormatting>
  <conditionalFormatting sqref="V36">
    <cfRule type="cellIs" dxfId="548" priority="868" operator="equal">
      <formula>1</formula>
    </cfRule>
  </conditionalFormatting>
  <conditionalFormatting sqref="V54">
    <cfRule type="cellIs" dxfId="547" priority="863" operator="equal">
      <formula>1</formula>
    </cfRule>
  </conditionalFormatting>
  <conditionalFormatting sqref="V54">
    <cfRule type="cellIs" dxfId="546" priority="864" operator="equal">
      <formula>1</formula>
    </cfRule>
  </conditionalFormatting>
  <conditionalFormatting sqref="V54">
    <cfRule type="cellIs" dxfId="545" priority="865" operator="equal">
      <formula>1</formula>
    </cfRule>
  </conditionalFormatting>
  <conditionalFormatting sqref="V54">
    <cfRule type="cellIs" dxfId="544" priority="866" operator="equal">
      <formula>1</formula>
    </cfRule>
  </conditionalFormatting>
  <conditionalFormatting sqref="V54">
    <cfRule type="cellIs" dxfId="543" priority="867" operator="equal">
      <formula>1</formula>
    </cfRule>
  </conditionalFormatting>
  <conditionalFormatting sqref="V17">
    <cfRule type="cellIs" dxfId="542" priority="862" operator="equal">
      <formula>1</formula>
    </cfRule>
  </conditionalFormatting>
  <conditionalFormatting sqref="V17">
    <cfRule type="cellIs" dxfId="541" priority="861" operator="equal">
      <formula>1</formula>
    </cfRule>
  </conditionalFormatting>
  <conditionalFormatting sqref="V49">
    <cfRule type="cellIs" dxfId="540" priority="860" operator="equal">
      <formula>1</formula>
    </cfRule>
  </conditionalFormatting>
  <conditionalFormatting sqref="V80:V81">
    <cfRule type="cellIs" dxfId="539" priority="853" operator="equal">
      <formula>1</formula>
    </cfRule>
  </conditionalFormatting>
  <conditionalFormatting sqref="V75">
    <cfRule type="cellIs" dxfId="538" priority="852" operator="equal">
      <formula>1</formula>
    </cfRule>
  </conditionalFormatting>
  <conditionalFormatting sqref="V79">
    <cfRule type="cellIs" dxfId="537" priority="849" operator="equal">
      <formula>1</formula>
    </cfRule>
  </conditionalFormatting>
  <conditionalFormatting sqref="V21">
    <cfRule type="cellIs" dxfId="536" priority="848" operator="equal">
      <formula>1</formula>
    </cfRule>
  </conditionalFormatting>
  <conditionalFormatting sqref="V68">
    <cfRule type="cellIs" dxfId="535" priority="845" operator="equal">
      <formula>1</formula>
    </cfRule>
  </conditionalFormatting>
  <conditionalFormatting sqref="V27">
    <cfRule type="cellIs" dxfId="534" priority="843" operator="equal">
      <formula>1</formula>
    </cfRule>
  </conditionalFormatting>
  <conditionalFormatting sqref="V69:V72">
    <cfRule type="colorScale" priority="916">
      <colorScale>
        <cfvo type="num" val="1"/>
        <cfvo type="num" val="10"/>
        <color rgb="FF00B050"/>
        <color rgb="FFFFEF9C"/>
      </colorScale>
    </cfRule>
    <cfRule type="colorScale" priority="917">
      <colorScale>
        <cfvo type="num" val="2"/>
        <cfvo type="max"/>
        <color rgb="FF0070C0"/>
        <color rgb="FFFFEF9C"/>
      </colorScale>
    </cfRule>
  </conditionalFormatting>
  <conditionalFormatting sqref="V68">
    <cfRule type="colorScale" priority="922">
      <colorScale>
        <cfvo type="num" val="1"/>
        <cfvo type="num" val="10"/>
        <color rgb="FF00B050"/>
        <color rgb="FFFFEF9C"/>
      </colorScale>
    </cfRule>
    <cfRule type="colorScale" priority="923">
      <colorScale>
        <cfvo type="num" val="2"/>
        <cfvo type="max"/>
        <color rgb="FF0070C0"/>
        <color rgb="FFFFEF9C"/>
      </colorScale>
    </cfRule>
  </conditionalFormatting>
  <conditionalFormatting sqref="V50">
    <cfRule type="cellIs" dxfId="533" priority="842" operator="equal">
      <formula>1</formula>
    </cfRule>
  </conditionalFormatting>
  <conditionalFormatting sqref="V78">
    <cfRule type="cellIs" dxfId="532" priority="839" operator="equal">
      <formula>1</formula>
    </cfRule>
  </conditionalFormatting>
  <conditionalFormatting sqref="V78">
    <cfRule type="colorScale" priority="840">
      <colorScale>
        <cfvo type="num" val="1"/>
        <cfvo type="num" val="10"/>
        <color rgb="FF00B050"/>
        <color rgb="FFFFEF9C"/>
      </colorScale>
    </cfRule>
    <cfRule type="colorScale" priority="841">
      <colorScale>
        <cfvo type="num" val="2"/>
        <cfvo type="max"/>
        <color rgb="FF0070C0"/>
        <color rgb="FFFFEF9C"/>
      </colorScale>
    </cfRule>
  </conditionalFormatting>
  <conditionalFormatting sqref="V11">
    <cfRule type="cellIs" dxfId="531" priority="832" operator="equal">
      <formula>1</formula>
    </cfRule>
  </conditionalFormatting>
  <conditionalFormatting sqref="V11">
    <cfRule type="cellIs" dxfId="530" priority="828" operator="equal">
      <formula>1</formula>
    </cfRule>
  </conditionalFormatting>
  <conditionalFormatting sqref="V11">
    <cfRule type="cellIs" dxfId="529" priority="829" operator="equal">
      <formula>1</formula>
    </cfRule>
  </conditionalFormatting>
  <conditionalFormatting sqref="V11">
    <cfRule type="cellIs" dxfId="528" priority="830" operator="equal">
      <formula>1</formula>
    </cfRule>
  </conditionalFormatting>
  <conditionalFormatting sqref="V11">
    <cfRule type="cellIs" dxfId="527" priority="831" operator="equal">
      <formula>1</formula>
    </cfRule>
  </conditionalFormatting>
  <conditionalFormatting sqref="V11">
    <cfRule type="cellIs" dxfId="526" priority="827" operator="equal">
      <formula>1</formula>
    </cfRule>
  </conditionalFormatting>
  <conditionalFormatting sqref="V32">
    <cfRule type="cellIs" dxfId="525" priority="826" operator="equal">
      <formula>1</formula>
    </cfRule>
  </conditionalFormatting>
  <conditionalFormatting sqref="V60">
    <cfRule type="cellIs" dxfId="524" priority="824" operator="equal">
      <formula>1</formula>
    </cfRule>
  </conditionalFormatting>
  <conditionalFormatting sqref="V73:V74">
    <cfRule type="colorScale" priority="930">
      <colorScale>
        <cfvo type="num" val="1"/>
        <cfvo type="num" val="10"/>
        <color rgb="FF00B050"/>
        <color rgb="FFFFEF9C"/>
      </colorScale>
    </cfRule>
    <cfRule type="colorScale" priority="931">
      <colorScale>
        <cfvo type="num" val="2"/>
        <cfvo type="max"/>
        <color rgb="FF0070C0"/>
        <color rgb="FFFFEF9C"/>
      </colorScale>
    </cfRule>
  </conditionalFormatting>
  <conditionalFormatting sqref="V18">
    <cfRule type="cellIs" dxfId="523" priority="814" operator="equal">
      <formula>1</formula>
    </cfRule>
  </conditionalFormatting>
  <conditionalFormatting sqref="V18">
    <cfRule type="cellIs" dxfId="522" priority="813" operator="equal">
      <formula>1</formula>
    </cfRule>
  </conditionalFormatting>
  <conditionalFormatting sqref="V77">
    <cfRule type="cellIs" dxfId="521" priority="810" operator="equal">
      <formula>1</formula>
    </cfRule>
  </conditionalFormatting>
  <conditionalFormatting sqref="V77">
    <cfRule type="colorScale" priority="811">
      <colorScale>
        <cfvo type="num" val="1"/>
        <cfvo type="num" val="10"/>
        <color rgb="FF00B050"/>
        <color rgb="FFFFEF9C"/>
      </colorScale>
    </cfRule>
    <cfRule type="colorScale" priority="812">
      <colorScale>
        <cfvo type="num" val="2"/>
        <cfvo type="max"/>
        <color rgb="FF0070C0"/>
        <color rgb="FFFFEF9C"/>
      </colorScale>
    </cfRule>
  </conditionalFormatting>
  <conditionalFormatting sqref="V76">
    <cfRule type="cellIs" dxfId="520" priority="807" operator="equal">
      <formula>1</formula>
    </cfRule>
  </conditionalFormatting>
  <conditionalFormatting sqref="V76">
    <cfRule type="colorScale" priority="808">
      <colorScale>
        <cfvo type="num" val="1"/>
        <cfvo type="num" val="10"/>
        <color rgb="FF00B050"/>
        <color rgb="FFFFEF9C"/>
      </colorScale>
    </cfRule>
    <cfRule type="colorScale" priority="809">
      <colorScale>
        <cfvo type="num" val="2"/>
        <cfvo type="max"/>
        <color rgb="FF0070C0"/>
        <color rgb="FFFFEF9C"/>
      </colorScale>
    </cfRule>
  </conditionalFormatting>
  <conditionalFormatting sqref="V31">
    <cfRule type="cellIs" dxfId="519" priority="806" operator="equal">
      <formula>1</formula>
    </cfRule>
  </conditionalFormatting>
  <conditionalFormatting sqref="V31">
    <cfRule type="cellIs" dxfId="518" priority="805" operator="equal">
      <formula>1</formula>
    </cfRule>
  </conditionalFormatting>
  <conditionalFormatting sqref="V33">
    <cfRule type="cellIs" dxfId="517" priority="804" operator="equal">
      <formula>1</formula>
    </cfRule>
  </conditionalFormatting>
  <conditionalFormatting sqref="V33">
    <cfRule type="cellIs" dxfId="516" priority="803" operator="equal">
      <formula>1</formula>
    </cfRule>
  </conditionalFormatting>
  <conditionalFormatting sqref="V82">
    <cfRule type="cellIs" dxfId="515" priority="802" operator="equal">
      <formula>1</formula>
    </cfRule>
  </conditionalFormatting>
  <conditionalFormatting sqref="V83">
    <cfRule type="cellIs" dxfId="514" priority="797" operator="equal">
      <formula>1</formula>
    </cfRule>
  </conditionalFormatting>
  <conditionalFormatting sqref="V84:V86 V82">
    <cfRule type="colorScale" priority="800">
      <colorScale>
        <cfvo type="num" val="1"/>
        <cfvo type="num" val="10"/>
        <color rgb="FF00B050"/>
        <color rgb="FFFFEF9C"/>
      </colorScale>
    </cfRule>
    <cfRule type="colorScale" priority="801">
      <colorScale>
        <cfvo type="num" val="2"/>
        <cfvo type="max"/>
        <color rgb="FF0070C0"/>
        <color rgb="FFFFEF9C"/>
      </colorScale>
    </cfRule>
  </conditionalFormatting>
  <conditionalFormatting sqref="V5">
    <cfRule type="cellIs" dxfId="513" priority="796" operator="equal">
      <formula>1</formula>
    </cfRule>
  </conditionalFormatting>
  <conditionalFormatting sqref="V5">
    <cfRule type="cellIs" dxfId="512" priority="795" operator="equal">
      <formula>1</formula>
    </cfRule>
  </conditionalFormatting>
  <conditionalFormatting sqref="V39">
    <cfRule type="cellIs" dxfId="511" priority="794" operator="equal">
      <formula>1</formula>
    </cfRule>
  </conditionalFormatting>
  <conditionalFormatting sqref="V39">
    <cfRule type="cellIs" dxfId="510" priority="793" operator="equal">
      <formula>1</formula>
    </cfRule>
  </conditionalFormatting>
  <conditionalFormatting sqref="R24:V24">
    <cfRule type="cellIs" dxfId="509" priority="792" operator="equal">
      <formula>1</formula>
    </cfRule>
  </conditionalFormatting>
  <conditionalFormatting sqref="L7:O7">
    <cfRule type="cellIs" dxfId="508" priority="791" operator="equal">
      <formula>1</formula>
    </cfRule>
  </conditionalFormatting>
  <conditionalFormatting sqref="L7:O7">
    <cfRule type="cellIs" dxfId="507" priority="790" operator="equal">
      <formula>1</formula>
    </cfRule>
  </conditionalFormatting>
  <conditionalFormatting sqref="R7:V7">
    <cfRule type="cellIs" dxfId="506" priority="789" operator="equal">
      <formula>1</formula>
    </cfRule>
  </conditionalFormatting>
  <conditionalFormatting sqref="R7:V7">
    <cfRule type="cellIs" dxfId="505" priority="788" operator="equal">
      <formula>1</formula>
    </cfRule>
  </conditionalFormatting>
  <conditionalFormatting sqref="L8">
    <cfRule type="cellIs" dxfId="504" priority="787" operator="equal">
      <formula>1</formula>
    </cfRule>
  </conditionalFormatting>
  <conditionalFormatting sqref="L8">
    <cfRule type="cellIs" dxfId="503" priority="783" operator="equal">
      <formula>1</formula>
    </cfRule>
  </conditionalFormatting>
  <conditionalFormatting sqref="L8">
    <cfRule type="cellIs" dxfId="502" priority="784" operator="equal">
      <formula>1</formula>
    </cfRule>
  </conditionalFormatting>
  <conditionalFormatting sqref="L8">
    <cfRule type="cellIs" dxfId="501" priority="785" operator="equal">
      <formula>1</formula>
    </cfRule>
  </conditionalFormatting>
  <conditionalFormatting sqref="L8">
    <cfRule type="cellIs" dxfId="500" priority="786" operator="equal">
      <formula>1</formula>
    </cfRule>
  </conditionalFormatting>
  <conditionalFormatting sqref="H8">
    <cfRule type="cellIs" dxfId="499" priority="777" operator="equal">
      <formula>1</formula>
    </cfRule>
  </conditionalFormatting>
  <conditionalFormatting sqref="H8">
    <cfRule type="cellIs" dxfId="498" priority="778" operator="equal">
      <formula>1</formula>
    </cfRule>
  </conditionalFormatting>
  <conditionalFormatting sqref="H8">
    <cfRule type="cellIs" dxfId="497" priority="779" operator="equal">
      <formula>1</formula>
    </cfRule>
  </conditionalFormatting>
  <conditionalFormatting sqref="H8">
    <cfRule type="cellIs" dxfId="496" priority="780" operator="equal">
      <formula>1</formula>
    </cfRule>
  </conditionalFormatting>
  <conditionalFormatting sqref="H8">
    <cfRule type="cellIs" dxfId="495" priority="776" operator="equal">
      <formula>1</formula>
    </cfRule>
  </conditionalFormatting>
  <conditionalFormatting sqref="V6">
    <cfRule type="cellIs" dxfId="494" priority="774" operator="equal">
      <formula>1</formula>
    </cfRule>
  </conditionalFormatting>
  <conditionalFormatting sqref="V6">
    <cfRule type="cellIs" dxfId="493" priority="773" operator="equal">
      <formula>1</formula>
    </cfRule>
  </conditionalFormatting>
  <conditionalFormatting sqref="W65:X74 W25:X25 W40:X48">
    <cfRule type="cellIs" dxfId="492" priority="766" operator="equal">
      <formula>1</formula>
    </cfRule>
  </conditionalFormatting>
  <conditionalFormatting sqref="W51:X51">
    <cfRule type="cellIs" dxfId="491" priority="765" operator="equal">
      <formula>1</formula>
    </cfRule>
  </conditionalFormatting>
  <conditionalFormatting sqref="W35:X38">
    <cfRule type="cellIs" dxfId="490" priority="764" operator="equal">
      <formula>1</formula>
    </cfRule>
  </conditionalFormatting>
  <conditionalFormatting sqref="W55:X57 W31:X33">
    <cfRule type="cellIs" dxfId="489" priority="763" operator="equal">
      <formula>1</formula>
    </cfRule>
  </conditionalFormatting>
  <conditionalFormatting sqref="W59:X59">
    <cfRule type="cellIs" dxfId="488" priority="762" operator="equal">
      <formula>1</formula>
    </cfRule>
  </conditionalFormatting>
  <conditionalFormatting sqref="W5:X23">
    <cfRule type="cellIs" dxfId="487" priority="761" operator="equal">
      <formula>1</formula>
    </cfRule>
  </conditionalFormatting>
  <conditionalFormatting sqref="W75:X78 W80:X81">
    <cfRule type="cellIs" dxfId="486" priority="760" operator="equal">
      <formula>1</formula>
    </cfRule>
  </conditionalFormatting>
  <conditionalFormatting sqref="W13:X13">
    <cfRule type="cellIs" dxfId="485" priority="758" operator="equal">
      <formula>1</formula>
    </cfRule>
  </conditionalFormatting>
  <conditionalFormatting sqref="W26:X26">
    <cfRule type="cellIs" dxfId="484" priority="756" operator="equal">
      <formula>1</formula>
    </cfRule>
  </conditionalFormatting>
  <conditionalFormatting sqref="W34:X34">
    <cfRule type="cellIs" dxfId="483" priority="757" operator="equal">
      <formula>1</formula>
    </cfRule>
  </conditionalFormatting>
  <conditionalFormatting sqref="W58:X58">
    <cfRule type="cellIs" dxfId="482" priority="755" operator="equal">
      <formula>1</formula>
    </cfRule>
  </conditionalFormatting>
  <conditionalFormatting sqref="W29:X30">
    <cfRule type="cellIs" dxfId="481" priority="754" operator="equal">
      <formula>1</formula>
    </cfRule>
  </conditionalFormatting>
  <conditionalFormatting sqref="W52:X52">
    <cfRule type="cellIs" dxfId="480" priority="753" operator="equal">
      <formula>1</formula>
    </cfRule>
  </conditionalFormatting>
  <conditionalFormatting sqref="W54:X54">
    <cfRule type="cellIs" dxfId="479" priority="752" operator="equal">
      <formula>1</formula>
    </cfRule>
  </conditionalFormatting>
  <conditionalFormatting sqref="W24:X24">
    <cfRule type="cellIs" dxfId="478" priority="751" operator="equal">
      <formula>1</formula>
    </cfRule>
  </conditionalFormatting>
  <conditionalFormatting sqref="W27:X28">
    <cfRule type="cellIs" dxfId="477" priority="750" operator="equal">
      <formula>1</formula>
    </cfRule>
  </conditionalFormatting>
  <conditionalFormatting sqref="W49:X49">
    <cfRule type="cellIs" dxfId="476" priority="749" operator="equal">
      <formula>1</formula>
    </cfRule>
  </conditionalFormatting>
  <conditionalFormatting sqref="W79:X79">
    <cfRule type="cellIs" dxfId="475" priority="748" operator="equal">
      <formula>1</formula>
    </cfRule>
  </conditionalFormatting>
  <conditionalFormatting sqref="W50:X50">
    <cfRule type="cellIs" dxfId="474" priority="746" operator="equal">
      <formula>1</formula>
    </cfRule>
  </conditionalFormatting>
  <conditionalFormatting sqref="W53:X53">
    <cfRule type="cellIs" dxfId="473" priority="736" operator="equal">
      <formula>1</formula>
    </cfRule>
  </conditionalFormatting>
  <conditionalFormatting sqref="W73:X78">
    <cfRule type="colorScale" priority="769">
      <colorScale>
        <cfvo type="num" val="1"/>
        <cfvo type="num" val="10"/>
        <color rgb="FF00B050"/>
        <color rgb="FFFFEF9C"/>
      </colorScale>
    </cfRule>
    <cfRule type="colorScale" priority="770">
      <colorScale>
        <cfvo type="num" val="2"/>
        <cfvo type="max"/>
        <color rgb="FF0070C0"/>
        <color rgb="FFFFEF9C"/>
      </colorScale>
    </cfRule>
  </conditionalFormatting>
  <conditionalFormatting sqref="W82:X83">
    <cfRule type="cellIs" dxfId="472" priority="721" operator="equal">
      <formula>1</formula>
    </cfRule>
  </conditionalFormatting>
  <conditionalFormatting sqref="W84:X86">
    <cfRule type="cellIs" dxfId="471" priority="720" operator="equal">
      <formula>1</formula>
    </cfRule>
  </conditionalFormatting>
  <conditionalFormatting sqref="W82:X86">
    <cfRule type="colorScale" priority="722">
      <colorScale>
        <cfvo type="num" val="1"/>
        <cfvo type="num" val="10"/>
        <color rgb="FF00B050"/>
        <color rgb="FFFFEF9C"/>
      </colorScale>
    </cfRule>
    <cfRule type="colorScale" priority="723">
      <colorScale>
        <cfvo type="num" val="2"/>
        <cfvo type="max"/>
        <color rgb="FF0070C0"/>
        <color rgb="FFFFEF9C"/>
      </colorScale>
    </cfRule>
  </conditionalFormatting>
  <conditionalFormatting sqref="W39:X39">
    <cfRule type="cellIs" dxfId="470" priority="719" operator="equal">
      <formula>1</formula>
    </cfRule>
  </conditionalFormatting>
  <conditionalFormatting sqref="Y37:Y38 Y43:Y48">
    <cfRule type="cellIs" dxfId="469" priority="710" operator="equal">
      <formula>1</formula>
    </cfRule>
  </conditionalFormatting>
  <conditionalFormatting sqref="Y84:Y86">
    <cfRule type="cellIs" dxfId="468" priority="586" operator="equal">
      <formula>1</formula>
    </cfRule>
  </conditionalFormatting>
  <conditionalFormatting sqref="Y83">
    <cfRule type="cellIs" dxfId="467" priority="585" operator="equal">
      <formula>1</formula>
    </cfRule>
  </conditionalFormatting>
  <conditionalFormatting sqref="Y55">
    <cfRule type="cellIs" dxfId="466" priority="669" operator="equal">
      <formula>1</formula>
    </cfRule>
  </conditionalFormatting>
  <conditionalFormatting sqref="Y55">
    <cfRule type="cellIs" dxfId="465" priority="668" operator="equal">
      <formula>1</formula>
    </cfRule>
  </conditionalFormatting>
  <conditionalFormatting sqref="Y25:Y26 Y40:Y41">
    <cfRule type="cellIs" dxfId="464" priority="718" operator="equal">
      <formula>1</formula>
    </cfRule>
  </conditionalFormatting>
  <conditionalFormatting sqref="Y69:Y74">
    <cfRule type="cellIs" dxfId="463" priority="713" operator="equal">
      <formula>1</formula>
    </cfRule>
  </conditionalFormatting>
  <conditionalFormatting sqref="Y51">
    <cfRule type="cellIs" dxfId="462" priority="712" operator="equal">
      <formula>1</formula>
    </cfRule>
  </conditionalFormatting>
  <conditionalFormatting sqref="Y65:Y67">
    <cfRule type="cellIs" dxfId="461" priority="701" operator="equal">
      <formula>1</formula>
    </cfRule>
  </conditionalFormatting>
  <conditionalFormatting sqref="Y34:Y35">
    <cfRule type="cellIs" dxfId="460" priority="700" operator="equal">
      <formula>1</formula>
    </cfRule>
  </conditionalFormatting>
  <conditionalFormatting sqref="Y10">
    <cfRule type="cellIs" dxfId="459" priority="687" operator="equal">
      <formula>1</formula>
    </cfRule>
  </conditionalFormatting>
  <conditionalFormatting sqref="Y40">
    <cfRule type="cellIs" dxfId="458" priority="688" operator="equal">
      <formula>1</formula>
    </cfRule>
  </conditionalFormatting>
  <conditionalFormatting sqref="Y44">
    <cfRule type="cellIs" dxfId="457" priority="689" operator="equal">
      <formula>1</formula>
    </cfRule>
  </conditionalFormatting>
  <conditionalFormatting sqref="Y59">
    <cfRule type="cellIs" dxfId="456" priority="690" operator="equal">
      <formula>1</formula>
    </cfRule>
  </conditionalFormatting>
  <conditionalFormatting sqref="Y12">
    <cfRule type="cellIs" dxfId="455" priority="691" operator="equal">
      <formula>1</formula>
    </cfRule>
  </conditionalFormatting>
  <conditionalFormatting sqref="Y25">
    <cfRule type="cellIs" dxfId="454" priority="692" operator="equal">
      <formula>1</formula>
    </cfRule>
  </conditionalFormatting>
  <conditionalFormatting sqref="Y13">
    <cfRule type="cellIs" dxfId="453" priority="693" operator="equal">
      <formula>1</formula>
    </cfRule>
  </conditionalFormatting>
  <conditionalFormatting sqref="Y14">
    <cfRule type="cellIs" dxfId="452" priority="694" operator="equal">
      <formula>1</formula>
    </cfRule>
  </conditionalFormatting>
  <conditionalFormatting sqref="Y57">
    <cfRule type="cellIs" dxfId="451" priority="695" operator="equal">
      <formula>1</formula>
    </cfRule>
  </conditionalFormatting>
  <conditionalFormatting sqref="Y57">
    <cfRule type="cellIs" dxfId="450" priority="696" operator="equal">
      <formula>1</formula>
    </cfRule>
  </conditionalFormatting>
  <conditionalFormatting sqref="Y38">
    <cfRule type="cellIs" dxfId="449" priority="697" operator="equal">
      <formula>1</formula>
    </cfRule>
  </conditionalFormatting>
  <conditionalFormatting sqref="Y23">
    <cfRule type="cellIs" dxfId="448" priority="698" operator="equal">
      <formula>1</formula>
    </cfRule>
  </conditionalFormatting>
  <conditionalFormatting sqref="Y8">
    <cfRule type="cellIs" dxfId="447" priority="699" operator="equal">
      <formula>1</formula>
    </cfRule>
  </conditionalFormatting>
  <conditionalFormatting sqref="Y9">
    <cfRule type="cellIs" dxfId="446" priority="686" operator="equal">
      <formula>1</formula>
    </cfRule>
  </conditionalFormatting>
  <conditionalFormatting sqref="Y15:Y16">
    <cfRule type="cellIs" dxfId="445" priority="685" operator="equal">
      <formula>1</formula>
    </cfRule>
  </conditionalFormatting>
  <conditionalFormatting sqref="Y26 Y20">
    <cfRule type="cellIs" dxfId="444" priority="682" operator="equal">
      <formula>1</formula>
    </cfRule>
  </conditionalFormatting>
  <conditionalFormatting sqref="Y43">
    <cfRule type="cellIs" dxfId="443" priority="683" operator="equal">
      <formula>1</formula>
    </cfRule>
  </conditionalFormatting>
  <conditionalFormatting sqref="Y26">
    <cfRule type="cellIs" dxfId="442" priority="684" operator="equal">
      <formula>1</formula>
    </cfRule>
  </conditionalFormatting>
  <conditionalFormatting sqref="Y23">
    <cfRule type="cellIs" dxfId="441" priority="681" operator="equal">
      <formula>1</formula>
    </cfRule>
  </conditionalFormatting>
  <conditionalFormatting sqref="Y8">
    <cfRule type="cellIs" dxfId="440" priority="676" operator="equal">
      <formula>1</formula>
    </cfRule>
  </conditionalFormatting>
  <conditionalFormatting sqref="Y8">
    <cfRule type="cellIs" dxfId="439" priority="677" operator="equal">
      <formula>1</formula>
    </cfRule>
  </conditionalFormatting>
  <conditionalFormatting sqref="Y8">
    <cfRule type="cellIs" dxfId="438" priority="678" operator="equal">
      <formula>1</formula>
    </cfRule>
  </conditionalFormatting>
  <conditionalFormatting sqref="Y8">
    <cfRule type="cellIs" dxfId="437" priority="679" operator="equal">
      <formula>1</formula>
    </cfRule>
  </conditionalFormatting>
  <conditionalFormatting sqref="Y20 Y26">
    <cfRule type="cellIs" dxfId="436" priority="680" operator="equal">
      <formula>1</formula>
    </cfRule>
  </conditionalFormatting>
  <conditionalFormatting sqref="Y8:Y10 Y12:Y16 Y57 Y59 Y20 Y53">
    <cfRule type="cellIs" dxfId="435" priority="675" operator="equal">
      <formula>1</formula>
    </cfRule>
  </conditionalFormatting>
  <conditionalFormatting sqref="Y22">
    <cfRule type="cellIs" dxfId="434" priority="674" operator="equal">
      <formula>1</formula>
    </cfRule>
  </conditionalFormatting>
  <conditionalFormatting sqref="Y58">
    <cfRule type="cellIs" dxfId="433" priority="659" operator="equal">
      <formula>1</formula>
    </cfRule>
  </conditionalFormatting>
  <conditionalFormatting sqref="Y58">
    <cfRule type="cellIs" dxfId="432" priority="660" operator="equal">
      <formula>1</formula>
    </cfRule>
  </conditionalFormatting>
  <conditionalFormatting sqref="Y19">
    <cfRule type="cellIs" dxfId="431" priority="673" operator="equal">
      <formula>1</formula>
    </cfRule>
  </conditionalFormatting>
  <conditionalFormatting sqref="Y55">
    <cfRule type="cellIs" dxfId="430" priority="670" operator="equal">
      <formula>1</formula>
    </cfRule>
  </conditionalFormatting>
  <conditionalFormatting sqref="Y55">
    <cfRule type="cellIs" dxfId="429" priority="671" operator="equal">
      <formula>1</formula>
    </cfRule>
  </conditionalFormatting>
  <conditionalFormatting sqref="Y55">
    <cfRule type="cellIs" dxfId="428" priority="672" operator="equal">
      <formula>1</formula>
    </cfRule>
  </conditionalFormatting>
  <conditionalFormatting sqref="Y42">
    <cfRule type="cellIs" dxfId="427" priority="666" operator="equal">
      <formula>1</formula>
    </cfRule>
  </conditionalFormatting>
  <conditionalFormatting sqref="Y42">
    <cfRule type="cellIs" dxfId="426" priority="667" operator="equal">
      <formula>1</formula>
    </cfRule>
  </conditionalFormatting>
  <conditionalFormatting sqref="Y56">
    <cfRule type="cellIs" dxfId="425" priority="661" operator="equal">
      <formula>1</formula>
    </cfRule>
  </conditionalFormatting>
  <conditionalFormatting sqref="Y56">
    <cfRule type="cellIs" dxfId="424" priority="662" operator="equal">
      <formula>1</formula>
    </cfRule>
  </conditionalFormatting>
  <conditionalFormatting sqref="Y56">
    <cfRule type="cellIs" dxfId="423" priority="663" operator="equal">
      <formula>1</formula>
    </cfRule>
  </conditionalFormatting>
  <conditionalFormatting sqref="Y56">
    <cfRule type="cellIs" dxfId="422" priority="664" operator="equal">
      <formula>1</formula>
    </cfRule>
  </conditionalFormatting>
  <conditionalFormatting sqref="Y56">
    <cfRule type="cellIs" dxfId="421" priority="665" operator="equal">
      <formula>1</formula>
    </cfRule>
  </conditionalFormatting>
  <conditionalFormatting sqref="Y28:Y30">
    <cfRule type="cellIs" dxfId="420" priority="658" operator="equal">
      <formula>1</formula>
    </cfRule>
  </conditionalFormatting>
  <conditionalFormatting sqref="Y52">
    <cfRule type="cellIs" dxfId="419" priority="657" operator="equal">
      <formula>1</formula>
    </cfRule>
  </conditionalFormatting>
  <conditionalFormatting sqref="Y52">
    <cfRule type="cellIs" dxfId="418" priority="656" operator="equal">
      <formula>1</formula>
    </cfRule>
  </conditionalFormatting>
  <conditionalFormatting sqref="Y36">
    <cfRule type="cellIs" dxfId="417" priority="655" operator="equal">
      <formula>1</formula>
    </cfRule>
  </conditionalFormatting>
  <conditionalFormatting sqref="Y36">
    <cfRule type="cellIs" dxfId="416" priority="654" operator="equal">
      <formula>1</formula>
    </cfRule>
  </conditionalFormatting>
  <conditionalFormatting sqref="Y54">
    <cfRule type="cellIs" dxfId="415" priority="649" operator="equal">
      <formula>1</formula>
    </cfRule>
  </conditionalFormatting>
  <conditionalFormatting sqref="Y54">
    <cfRule type="cellIs" dxfId="414" priority="650" operator="equal">
      <formula>1</formula>
    </cfRule>
  </conditionalFormatting>
  <conditionalFormatting sqref="Y54">
    <cfRule type="cellIs" dxfId="413" priority="651" operator="equal">
      <formula>1</formula>
    </cfRule>
  </conditionalFormatting>
  <conditionalFormatting sqref="Y54">
    <cfRule type="cellIs" dxfId="412" priority="652" operator="equal">
      <formula>1</formula>
    </cfRule>
  </conditionalFormatting>
  <conditionalFormatting sqref="Y54">
    <cfRule type="cellIs" dxfId="411" priority="653" operator="equal">
      <formula>1</formula>
    </cfRule>
  </conditionalFormatting>
  <conditionalFormatting sqref="Y17">
    <cfRule type="cellIs" dxfId="410" priority="648" operator="equal">
      <formula>1</formula>
    </cfRule>
  </conditionalFormatting>
  <conditionalFormatting sqref="Y17">
    <cfRule type="cellIs" dxfId="409" priority="647" operator="equal">
      <formula>1</formula>
    </cfRule>
  </conditionalFormatting>
  <conditionalFormatting sqref="Y49">
    <cfRule type="cellIs" dxfId="408" priority="646" operator="equal">
      <formula>1</formula>
    </cfRule>
  </conditionalFormatting>
  <conditionalFormatting sqref="Y80:Y81">
    <cfRule type="cellIs" dxfId="407" priority="639" operator="equal">
      <formula>1</formula>
    </cfRule>
  </conditionalFormatting>
  <conditionalFormatting sqref="Y75">
    <cfRule type="cellIs" dxfId="406" priority="638" operator="equal">
      <formula>1</formula>
    </cfRule>
  </conditionalFormatting>
  <conditionalFormatting sqref="Y79">
    <cfRule type="cellIs" dxfId="405" priority="635" operator="equal">
      <formula>1</formula>
    </cfRule>
  </conditionalFormatting>
  <conditionalFormatting sqref="Y21">
    <cfRule type="cellIs" dxfId="404" priority="634" operator="equal">
      <formula>1</formula>
    </cfRule>
  </conditionalFormatting>
  <conditionalFormatting sqref="Y68">
    <cfRule type="cellIs" dxfId="403" priority="631" operator="equal">
      <formula>1</formula>
    </cfRule>
  </conditionalFormatting>
  <conditionalFormatting sqref="Y27">
    <cfRule type="cellIs" dxfId="402" priority="630" operator="equal">
      <formula>1</formula>
    </cfRule>
  </conditionalFormatting>
  <conditionalFormatting sqref="Y69:Y72 Y65:Y67">
    <cfRule type="colorScale" priority="702">
      <colorScale>
        <cfvo type="num" val="1"/>
        <cfvo type="num" val="10"/>
        <color rgb="FF00B050"/>
        <color rgb="FFFFEF9C"/>
      </colorScale>
    </cfRule>
    <cfRule type="colorScale" priority="703">
      <colorScale>
        <cfvo type="num" val="2"/>
        <cfvo type="max"/>
        <color rgb="FF0070C0"/>
        <color rgb="FFFFEF9C"/>
      </colorScale>
    </cfRule>
  </conditionalFormatting>
  <conditionalFormatting sqref="Y68">
    <cfRule type="colorScale" priority="708">
      <colorScale>
        <cfvo type="num" val="1"/>
        <cfvo type="num" val="10"/>
        <color rgb="FF00B050"/>
        <color rgb="FFFFEF9C"/>
      </colorScale>
    </cfRule>
    <cfRule type="colorScale" priority="709">
      <colorScale>
        <cfvo type="num" val="2"/>
        <cfvo type="max"/>
        <color rgb="FF0070C0"/>
        <color rgb="FFFFEF9C"/>
      </colorScale>
    </cfRule>
  </conditionalFormatting>
  <conditionalFormatting sqref="Y50">
    <cfRule type="cellIs" dxfId="401" priority="629" operator="equal">
      <formula>1</formula>
    </cfRule>
  </conditionalFormatting>
  <conditionalFormatting sqref="Y78">
    <cfRule type="cellIs" dxfId="400" priority="626" operator="equal">
      <formula>1</formula>
    </cfRule>
  </conditionalFormatting>
  <conditionalFormatting sqref="Y78">
    <cfRule type="colorScale" priority="627">
      <colorScale>
        <cfvo type="num" val="1"/>
        <cfvo type="num" val="10"/>
        <color rgb="FF00B050"/>
        <color rgb="FFFFEF9C"/>
      </colorScale>
    </cfRule>
    <cfRule type="colorScale" priority="628">
      <colorScale>
        <cfvo type="num" val="2"/>
        <cfvo type="max"/>
        <color rgb="FF0070C0"/>
        <color rgb="FFFFEF9C"/>
      </colorScale>
    </cfRule>
  </conditionalFormatting>
  <conditionalFormatting sqref="Y11">
    <cfRule type="cellIs" dxfId="399" priority="619" operator="equal">
      <formula>1</formula>
    </cfRule>
  </conditionalFormatting>
  <conditionalFormatting sqref="Y11">
    <cfRule type="cellIs" dxfId="398" priority="615" operator="equal">
      <formula>1</formula>
    </cfRule>
  </conditionalFormatting>
  <conditionalFormatting sqref="Y11">
    <cfRule type="cellIs" dxfId="397" priority="616" operator="equal">
      <formula>1</formula>
    </cfRule>
  </conditionalFormatting>
  <conditionalFormatting sqref="Y11">
    <cfRule type="cellIs" dxfId="396" priority="617" operator="equal">
      <formula>1</formula>
    </cfRule>
  </conditionalFormatting>
  <conditionalFormatting sqref="Y11">
    <cfRule type="cellIs" dxfId="395" priority="618" operator="equal">
      <formula>1</formula>
    </cfRule>
  </conditionalFormatting>
  <conditionalFormatting sqref="Y11">
    <cfRule type="cellIs" dxfId="394" priority="614" operator="equal">
      <formula>1</formula>
    </cfRule>
  </conditionalFormatting>
  <conditionalFormatting sqref="Y32">
    <cfRule type="cellIs" dxfId="393" priority="613" operator="equal">
      <formula>1</formula>
    </cfRule>
  </conditionalFormatting>
  <conditionalFormatting sqref="Y60">
    <cfRule type="cellIs" dxfId="392" priority="611" operator="equal">
      <formula>1</formula>
    </cfRule>
  </conditionalFormatting>
  <conditionalFormatting sqref="Y73:Y74">
    <cfRule type="colorScale" priority="716">
      <colorScale>
        <cfvo type="num" val="1"/>
        <cfvo type="num" val="10"/>
        <color rgb="FF00B050"/>
        <color rgb="FFFFEF9C"/>
      </colorScale>
    </cfRule>
    <cfRule type="colorScale" priority="717">
      <colorScale>
        <cfvo type="num" val="2"/>
        <cfvo type="max"/>
        <color rgb="FF0070C0"/>
        <color rgb="FFFFEF9C"/>
      </colorScale>
    </cfRule>
  </conditionalFormatting>
  <conditionalFormatting sqref="Y18">
    <cfRule type="cellIs" dxfId="391" priority="601" operator="equal">
      <formula>1</formula>
    </cfRule>
  </conditionalFormatting>
  <conditionalFormatting sqref="Y18">
    <cfRule type="cellIs" dxfId="390" priority="600" operator="equal">
      <formula>1</formula>
    </cfRule>
  </conditionalFormatting>
  <conditionalFormatting sqref="Y77">
    <cfRule type="cellIs" dxfId="389" priority="597" operator="equal">
      <formula>1</formula>
    </cfRule>
  </conditionalFormatting>
  <conditionalFormatting sqref="Y77">
    <cfRule type="colorScale" priority="598">
      <colorScale>
        <cfvo type="num" val="1"/>
        <cfvo type="num" val="10"/>
        <color rgb="FF00B050"/>
        <color rgb="FFFFEF9C"/>
      </colorScale>
    </cfRule>
    <cfRule type="colorScale" priority="599">
      <colorScale>
        <cfvo type="num" val="2"/>
        <cfvo type="max"/>
        <color rgb="FF0070C0"/>
        <color rgb="FFFFEF9C"/>
      </colorScale>
    </cfRule>
  </conditionalFormatting>
  <conditionalFormatting sqref="Y76">
    <cfRule type="cellIs" dxfId="388" priority="594" operator="equal">
      <formula>1</formula>
    </cfRule>
  </conditionalFormatting>
  <conditionalFormatting sqref="Y76">
    <cfRule type="colorScale" priority="595">
      <colorScale>
        <cfvo type="num" val="1"/>
        <cfvo type="num" val="10"/>
        <color rgb="FF00B050"/>
        <color rgb="FFFFEF9C"/>
      </colorScale>
    </cfRule>
    <cfRule type="colorScale" priority="596">
      <colorScale>
        <cfvo type="num" val="2"/>
        <cfvo type="max"/>
        <color rgb="FF0070C0"/>
        <color rgb="FFFFEF9C"/>
      </colorScale>
    </cfRule>
  </conditionalFormatting>
  <conditionalFormatting sqref="Y31">
    <cfRule type="cellIs" dxfId="387" priority="593" operator="equal">
      <formula>1</formula>
    </cfRule>
  </conditionalFormatting>
  <conditionalFormatting sqref="Y31">
    <cfRule type="cellIs" dxfId="386" priority="592" operator="equal">
      <formula>1</formula>
    </cfRule>
  </conditionalFormatting>
  <conditionalFormatting sqref="Y33">
    <cfRule type="cellIs" dxfId="385" priority="591" operator="equal">
      <formula>1</formula>
    </cfRule>
  </conditionalFormatting>
  <conditionalFormatting sqref="Y33">
    <cfRule type="cellIs" dxfId="384" priority="590" operator="equal">
      <formula>1</formula>
    </cfRule>
  </conditionalFormatting>
  <conditionalFormatting sqref="Y82">
    <cfRule type="cellIs" dxfId="383" priority="589" operator="equal">
      <formula>1</formula>
    </cfRule>
  </conditionalFormatting>
  <conditionalFormatting sqref="Y83">
    <cfRule type="cellIs" dxfId="382" priority="584" operator="equal">
      <formula>1</formula>
    </cfRule>
  </conditionalFormatting>
  <conditionalFormatting sqref="Y84:Y86 Y82">
    <cfRule type="colorScale" priority="587">
      <colorScale>
        <cfvo type="num" val="1"/>
        <cfvo type="num" val="10"/>
        <color rgb="FF00B050"/>
        <color rgb="FFFFEF9C"/>
      </colorScale>
    </cfRule>
    <cfRule type="colorScale" priority="588">
      <colorScale>
        <cfvo type="num" val="2"/>
        <cfvo type="max"/>
        <color rgb="FF0070C0"/>
        <color rgb="FFFFEF9C"/>
      </colorScale>
    </cfRule>
  </conditionalFormatting>
  <conditionalFormatting sqref="Y5">
    <cfRule type="cellIs" dxfId="381" priority="583" operator="equal">
      <formula>1</formula>
    </cfRule>
  </conditionalFormatting>
  <conditionalFormatting sqref="Y5">
    <cfRule type="cellIs" dxfId="380" priority="582" operator="equal">
      <formula>1</formula>
    </cfRule>
  </conditionalFormatting>
  <conditionalFormatting sqref="Y39">
    <cfRule type="cellIs" dxfId="379" priority="581" operator="equal">
      <formula>1</formula>
    </cfRule>
  </conditionalFormatting>
  <conditionalFormatting sqref="Y39">
    <cfRule type="cellIs" dxfId="378" priority="580" operator="equal">
      <formula>1</formula>
    </cfRule>
  </conditionalFormatting>
  <conditionalFormatting sqref="Y24">
    <cfRule type="cellIs" dxfId="377" priority="579" operator="equal">
      <formula>1</formula>
    </cfRule>
  </conditionalFormatting>
  <conditionalFormatting sqref="Y7">
    <cfRule type="cellIs" dxfId="376" priority="578" operator="equal">
      <formula>1</formula>
    </cfRule>
  </conditionalFormatting>
  <conditionalFormatting sqref="Y7">
    <cfRule type="cellIs" dxfId="375" priority="577" operator="equal">
      <formula>1</formula>
    </cfRule>
  </conditionalFormatting>
  <conditionalFormatting sqref="Y6">
    <cfRule type="cellIs" dxfId="374" priority="576" operator="equal">
      <formula>1</formula>
    </cfRule>
  </conditionalFormatting>
  <conditionalFormatting sqref="Y6">
    <cfRule type="cellIs" dxfId="373" priority="575" operator="equal">
      <formula>1</formula>
    </cfRule>
  </conditionalFormatting>
  <conditionalFormatting sqref="AC37:AC38 AC43:AC48">
    <cfRule type="cellIs" dxfId="372" priority="147" operator="equal">
      <formula>1</formula>
    </cfRule>
  </conditionalFormatting>
  <conditionalFormatting sqref="AC84:AC86">
    <cfRule type="cellIs" dxfId="371" priority="23" operator="equal">
      <formula>1</formula>
    </cfRule>
  </conditionalFormatting>
  <conditionalFormatting sqref="AC83">
    <cfRule type="cellIs" dxfId="370" priority="22" operator="equal">
      <formula>1</formula>
    </cfRule>
  </conditionalFormatting>
  <conditionalFormatting sqref="Z25:AA26 Z40:AA41">
    <cfRule type="cellIs" dxfId="369" priority="574" operator="equal">
      <formula>1</formula>
    </cfRule>
  </conditionalFormatting>
  <conditionalFormatting sqref="Z42">
    <cfRule type="cellIs" dxfId="368" priority="523" operator="equal">
      <formula>1</formula>
    </cfRule>
  </conditionalFormatting>
  <conditionalFormatting sqref="Z42">
    <cfRule type="cellIs" dxfId="367" priority="522" operator="equal">
      <formula>1</formula>
    </cfRule>
  </conditionalFormatting>
  <conditionalFormatting sqref="Z69:Z74">
    <cfRule type="cellIs" dxfId="366" priority="569" operator="equal">
      <formula>1</formula>
    </cfRule>
  </conditionalFormatting>
  <conditionalFormatting sqref="Z51">
    <cfRule type="cellIs" dxfId="365" priority="568" operator="equal">
      <formula>1</formula>
    </cfRule>
  </conditionalFormatting>
  <conditionalFormatting sqref="Z37:Z38 Z43:Z48">
    <cfRule type="cellIs" dxfId="364" priority="566" operator="equal">
      <formula>1</formula>
    </cfRule>
  </conditionalFormatting>
  <conditionalFormatting sqref="Z65:Z67">
    <cfRule type="cellIs" dxfId="363" priority="557" operator="equal">
      <formula>1</formula>
    </cfRule>
  </conditionalFormatting>
  <conditionalFormatting sqref="Z34:Z35">
    <cfRule type="cellIs" dxfId="362" priority="556" operator="equal">
      <formula>1</formula>
    </cfRule>
  </conditionalFormatting>
  <conditionalFormatting sqref="Z10">
    <cfRule type="cellIs" dxfId="361" priority="543" operator="equal">
      <formula>1</formula>
    </cfRule>
  </conditionalFormatting>
  <conditionalFormatting sqref="Z40">
    <cfRule type="cellIs" dxfId="360" priority="544" operator="equal">
      <formula>1</formula>
    </cfRule>
  </conditionalFormatting>
  <conditionalFormatting sqref="Z44">
    <cfRule type="cellIs" dxfId="359" priority="545" operator="equal">
      <formula>1</formula>
    </cfRule>
  </conditionalFormatting>
  <conditionalFormatting sqref="Z59">
    <cfRule type="cellIs" dxfId="358" priority="546" operator="equal">
      <formula>1</formula>
    </cfRule>
  </conditionalFormatting>
  <conditionalFormatting sqref="Z12">
    <cfRule type="cellIs" dxfId="357" priority="547" operator="equal">
      <formula>1</formula>
    </cfRule>
  </conditionalFormatting>
  <conditionalFormatting sqref="Z25">
    <cfRule type="cellIs" dxfId="356" priority="548" operator="equal">
      <formula>1</formula>
    </cfRule>
  </conditionalFormatting>
  <conditionalFormatting sqref="Z13">
    <cfRule type="cellIs" dxfId="355" priority="549" operator="equal">
      <formula>1</formula>
    </cfRule>
  </conditionalFormatting>
  <conditionalFormatting sqref="Z14">
    <cfRule type="cellIs" dxfId="354" priority="550" operator="equal">
      <formula>1</formula>
    </cfRule>
  </conditionalFormatting>
  <conditionalFormatting sqref="Z57">
    <cfRule type="cellIs" dxfId="353" priority="551" operator="equal">
      <formula>1</formula>
    </cfRule>
  </conditionalFormatting>
  <conditionalFormatting sqref="Z57">
    <cfRule type="cellIs" dxfId="352" priority="552" operator="equal">
      <formula>1</formula>
    </cfRule>
  </conditionalFormatting>
  <conditionalFormatting sqref="Z38">
    <cfRule type="cellIs" dxfId="351" priority="553" operator="equal">
      <formula>1</formula>
    </cfRule>
  </conditionalFormatting>
  <conditionalFormatting sqref="Z23">
    <cfRule type="cellIs" dxfId="350" priority="554" operator="equal">
      <formula>1</formula>
    </cfRule>
  </conditionalFormatting>
  <conditionalFormatting sqref="Z8">
    <cfRule type="cellIs" dxfId="349" priority="555" operator="equal">
      <formula>1</formula>
    </cfRule>
  </conditionalFormatting>
  <conditionalFormatting sqref="Z9">
    <cfRule type="cellIs" dxfId="348" priority="542" operator="equal">
      <formula>1</formula>
    </cfRule>
  </conditionalFormatting>
  <conditionalFormatting sqref="Z15:Z16">
    <cfRule type="cellIs" dxfId="347" priority="541" operator="equal">
      <formula>1</formula>
    </cfRule>
  </conditionalFormatting>
  <conditionalFormatting sqref="Z26 Z20">
    <cfRule type="cellIs" dxfId="346" priority="538" operator="equal">
      <formula>1</formula>
    </cfRule>
  </conditionalFormatting>
  <conditionalFormatting sqref="Z43">
    <cfRule type="cellIs" dxfId="345" priority="539" operator="equal">
      <formula>1</formula>
    </cfRule>
  </conditionalFormatting>
  <conditionalFormatting sqref="Z26">
    <cfRule type="cellIs" dxfId="344" priority="540" operator="equal">
      <formula>1</formula>
    </cfRule>
  </conditionalFormatting>
  <conditionalFormatting sqref="Z23">
    <cfRule type="cellIs" dxfId="343" priority="537" operator="equal">
      <formula>1</formula>
    </cfRule>
  </conditionalFormatting>
  <conditionalFormatting sqref="Z8">
    <cfRule type="cellIs" dxfId="342" priority="532" operator="equal">
      <formula>1</formula>
    </cfRule>
  </conditionalFormatting>
  <conditionalFormatting sqref="Z8">
    <cfRule type="cellIs" dxfId="341" priority="533" operator="equal">
      <formula>1</formula>
    </cfRule>
  </conditionalFormatting>
  <conditionalFormatting sqref="Z8">
    <cfRule type="cellIs" dxfId="340" priority="534" operator="equal">
      <formula>1</formula>
    </cfRule>
  </conditionalFormatting>
  <conditionalFormatting sqref="Z8">
    <cfRule type="cellIs" dxfId="339" priority="535" operator="equal">
      <formula>1</formula>
    </cfRule>
  </conditionalFormatting>
  <conditionalFormatting sqref="Z20 Z26">
    <cfRule type="cellIs" dxfId="338" priority="536" operator="equal">
      <formula>1</formula>
    </cfRule>
  </conditionalFormatting>
  <conditionalFormatting sqref="Z8:Z10 Z12:Z16 Z57 Z59 Z20 Z53">
    <cfRule type="cellIs" dxfId="337" priority="531" operator="equal">
      <formula>1</formula>
    </cfRule>
  </conditionalFormatting>
  <conditionalFormatting sqref="Z22">
    <cfRule type="cellIs" dxfId="336" priority="530" operator="equal">
      <formula>1</formula>
    </cfRule>
  </conditionalFormatting>
  <conditionalFormatting sqref="Z58">
    <cfRule type="cellIs" dxfId="335" priority="515" operator="equal">
      <formula>1</formula>
    </cfRule>
  </conditionalFormatting>
  <conditionalFormatting sqref="Z58">
    <cfRule type="cellIs" dxfId="334" priority="516" operator="equal">
      <formula>1</formula>
    </cfRule>
  </conditionalFormatting>
  <conditionalFormatting sqref="Z19">
    <cfRule type="cellIs" dxfId="333" priority="529" operator="equal">
      <formula>1</formula>
    </cfRule>
  </conditionalFormatting>
  <conditionalFormatting sqref="Z55">
    <cfRule type="cellIs" dxfId="332" priority="524" operator="equal">
      <formula>1</formula>
    </cfRule>
  </conditionalFormatting>
  <conditionalFormatting sqref="Z55">
    <cfRule type="cellIs" dxfId="331" priority="525" operator="equal">
      <formula>1</formula>
    </cfRule>
  </conditionalFormatting>
  <conditionalFormatting sqref="Z55">
    <cfRule type="cellIs" dxfId="330" priority="526" operator="equal">
      <formula>1</formula>
    </cfRule>
  </conditionalFormatting>
  <conditionalFormatting sqref="Z55">
    <cfRule type="cellIs" dxfId="329" priority="527" operator="equal">
      <formula>1</formula>
    </cfRule>
  </conditionalFormatting>
  <conditionalFormatting sqref="Z55">
    <cfRule type="cellIs" dxfId="328" priority="528" operator="equal">
      <formula>1</formula>
    </cfRule>
  </conditionalFormatting>
  <conditionalFormatting sqref="Z56">
    <cfRule type="cellIs" dxfId="327" priority="517" operator="equal">
      <formula>1</formula>
    </cfRule>
  </conditionalFormatting>
  <conditionalFormatting sqref="Z56">
    <cfRule type="cellIs" dxfId="326" priority="518" operator="equal">
      <formula>1</formula>
    </cfRule>
  </conditionalFormatting>
  <conditionalFormatting sqref="Z56">
    <cfRule type="cellIs" dxfId="325" priority="519" operator="equal">
      <formula>1</formula>
    </cfRule>
  </conditionalFormatting>
  <conditionalFormatting sqref="Z56">
    <cfRule type="cellIs" dxfId="324" priority="520" operator="equal">
      <formula>1</formula>
    </cfRule>
  </conditionalFormatting>
  <conditionalFormatting sqref="Z56">
    <cfRule type="cellIs" dxfId="323" priority="521" operator="equal">
      <formula>1</formula>
    </cfRule>
  </conditionalFormatting>
  <conditionalFormatting sqref="Z28:Z30">
    <cfRule type="cellIs" dxfId="322" priority="514" operator="equal">
      <formula>1</formula>
    </cfRule>
  </conditionalFormatting>
  <conditionalFormatting sqref="Z52">
    <cfRule type="cellIs" dxfId="321" priority="513" operator="equal">
      <formula>1</formula>
    </cfRule>
  </conditionalFormatting>
  <conditionalFormatting sqref="Z52">
    <cfRule type="cellIs" dxfId="320" priority="512" operator="equal">
      <formula>1</formula>
    </cfRule>
  </conditionalFormatting>
  <conditionalFormatting sqref="Z36">
    <cfRule type="cellIs" dxfId="319" priority="511" operator="equal">
      <formula>1</formula>
    </cfRule>
  </conditionalFormatting>
  <conditionalFormatting sqref="Z36">
    <cfRule type="cellIs" dxfId="318" priority="510" operator="equal">
      <formula>1</formula>
    </cfRule>
  </conditionalFormatting>
  <conditionalFormatting sqref="Z54">
    <cfRule type="cellIs" dxfId="317" priority="505" operator="equal">
      <formula>1</formula>
    </cfRule>
  </conditionalFormatting>
  <conditionalFormatting sqref="Z54">
    <cfRule type="cellIs" dxfId="316" priority="506" operator="equal">
      <formula>1</formula>
    </cfRule>
  </conditionalFormatting>
  <conditionalFormatting sqref="Z54">
    <cfRule type="cellIs" dxfId="315" priority="507" operator="equal">
      <formula>1</formula>
    </cfRule>
  </conditionalFormatting>
  <conditionalFormatting sqref="Z54">
    <cfRule type="cellIs" dxfId="314" priority="508" operator="equal">
      <formula>1</formula>
    </cfRule>
  </conditionalFormatting>
  <conditionalFormatting sqref="Z54">
    <cfRule type="cellIs" dxfId="313" priority="509" operator="equal">
      <formula>1</formula>
    </cfRule>
  </conditionalFormatting>
  <conditionalFormatting sqref="Z17">
    <cfRule type="cellIs" dxfId="312" priority="504" operator="equal">
      <formula>1</formula>
    </cfRule>
  </conditionalFormatting>
  <conditionalFormatting sqref="Z17">
    <cfRule type="cellIs" dxfId="311" priority="503" operator="equal">
      <formula>1</formula>
    </cfRule>
  </conditionalFormatting>
  <conditionalFormatting sqref="Z49">
    <cfRule type="cellIs" dxfId="310" priority="502" operator="equal">
      <formula>1</formula>
    </cfRule>
  </conditionalFormatting>
  <conditionalFormatting sqref="Z80:Z81">
    <cfRule type="cellIs" dxfId="309" priority="495" operator="equal">
      <formula>1</formula>
    </cfRule>
  </conditionalFormatting>
  <conditionalFormatting sqref="Z75">
    <cfRule type="cellIs" dxfId="308" priority="494" operator="equal">
      <formula>1</formula>
    </cfRule>
  </conditionalFormatting>
  <conditionalFormatting sqref="Z79">
    <cfRule type="cellIs" dxfId="307" priority="491" operator="equal">
      <formula>1</formula>
    </cfRule>
  </conditionalFormatting>
  <conditionalFormatting sqref="Z21">
    <cfRule type="cellIs" dxfId="306" priority="490" operator="equal">
      <formula>1</formula>
    </cfRule>
  </conditionalFormatting>
  <conditionalFormatting sqref="Z68">
    <cfRule type="cellIs" dxfId="305" priority="487" operator="equal">
      <formula>1</formula>
    </cfRule>
  </conditionalFormatting>
  <conditionalFormatting sqref="Z6">
    <cfRule type="cellIs" dxfId="304" priority="486" operator="equal">
      <formula>1</formula>
    </cfRule>
  </conditionalFormatting>
  <conditionalFormatting sqref="Z27">
    <cfRule type="cellIs" dxfId="303" priority="485" operator="equal">
      <formula>1</formula>
    </cfRule>
  </conditionalFormatting>
  <conditionalFormatting sqref="Z69:Z72 Z65:Z67">
    <cfRule type="colorScale" priority="558">
      <colorScale>
        <cfvo type="num" val="1"/>
        <cfvo type="num" val="10"/>
        <color rgb="FF00B050"/>
        <color rgb="FFFFEF9C"/>
      </colorScale>
    </cfRule>
    <cfRule type="colorScale" priority="559">
      <colorScale>
        <cfvo type="num" val="2"/>
        <cfvo type="max"/>
        <color rgb="FF0070C0"/>
        <color rgb="FFFFEF9C"/>
      </colorScale>
    </cfRule>
  </conditionalFormatting>
  <conditionalFormatting sqref="Z68">
    <cfRule type="colorScale" priority="564">
      <colorScale>
        <cfvo type="num" val="1"/>
        <cfvo type="num" val="10"/>
        <color rgb="FF00B050"/>
        <color rgb="FFFFEF9C"/>
      </colorScale>
    </cfRule>
    <cfRule type="colorScale" priority="565">
      <colorScale>
        <cfvo type="num" val="2"/>
        <cfvo type="max"/>
        <color rgb="FF0070C0"/>
        <color rgb="FFFFEF9C"/>
      </colorScale>
    </cfRule>
  </conditionalFormatting>
  <conditionalFormatting sqref="Z50">
    <cfRule type="cellIs" dxfId="302" priority="484" operator="equal">
      <formula>1</formula>
    </cfRule>
  </conditionalFormatting>
  <conditionalFormatting sqref="Z78">
    <cfRule type="cellIs" dxfId="301" priority="481" operator="equal">
      <formula>1</formula>
    </cfRule>
  </conditionalFormatting>
  <conditionalFormatting sqref="Z78">
    <cfRule type="colorScale" priority="482">
      <colorScale>
        <cfvo type="num" val="1"/>
        <cfvo type="num" val="10"/>
        <color rgb="FF00B050"/>
        <color rgb="FFFFEF9C"/>
      </colorScale>
    </cfRule>
    <cfRule type="colorScale" priority="483">
      <colorScale>
        <cfvo type="num" val="2"/>
        <cfvo type="max"/>
        <color rgb="FF0070C0"/>
        <color rgb="FFFFEF9C"/>
      </colorScale>
    </cfRule>
  </conditionalFormatting>
  <conditionalFormatting sqref="Z11">
    <cfRule type="cellIs" dxfId="300" priority="474" operator="equal">
      <formula>1</formula>
    </cfRule>
  </conditionalFormatting>
  <conditionalFormatting sqref="Z11">
    <cfRule type="cellIs" dxfId="299" priority="470" operator="equal">
      <formula>1</formula>
    </cfRule>
  </conditionalFormatting>
  <conditionalFormatting sqref="Z11">
    <cfRule type="cellIs" dxfId="298" priority="471" operator="equal">
      <formula>1</formula>
    </cfRule>
  </conditionalFormatting>
  <conditionalFormatting sqref="Z11">
    <cfRule type="cellIs" dxfId="297" priority="472" operator="equal">
      <formula>1</formula>
    </cfRule>
  </conditionalFormatting>
  <conditionalFormatting sqref="Z11">
    <cfRule type="cellIs" dxfId="296" priority="473" operator="equal">
      <formula>1</formula>
    </cfRule>
  </conditionalFormatting>
  <conditionalFormatting sqref="Z11">
    <cfRule type="cellIs" dxfId="295" priority="469" operator="equal">
      <formula>1</formula>
    </cfRule>
  </conditionalFormatting>
  <conditionalFormatting sqref="Z32">
    <cfRule type="cellIs" dxfId="294" priority="468" operator="equal">
      <formula>1</formula>
    </cfRule>
  </conditionalFormatting>
  <conditionalFormatting sqref="Z60">
    <cfRule type="cellIs" dxfId="293" priority="466" operator="equal">
      <formula>1</formula>
    </cfRule>
  </conditionalFormatting>
  <conditionalFormatting sqref="Z73:Z74">
    <cfRule type="colorScale" priority="572">
      <colorScale>
        <cfvo type="num" val="1"/>
        <cfvo type="num" val="10"/>
        <color rgb="FF00B050"/>
        <color rgb="FFFFEF9C"/>
      </colorScale>
    </cfRule>
    <cfRule type="colorScale" priority="573">
      <colorScale>
        <cfvo type="num" val="2"/>
        <cfvo type="max"/>
        <color rgb="FF0070C0"/>
        <color rgb="FFFFEF9C"/>
      </colorScale>
    </cfRule>
  </conditionalFormatting>
  <conditionalFormatting sqref="Z18">
    <cfRule type="cellIs" dxfId="292" priority="456" operator="equal">
      <formula>1</formula>
    </cfRule>
  </conditionalFormatting>
  <conditionalFormatting sqref="Z18">
    <cfRule type="cellIs" dxfId="291" priority="455" operator="equal">
      <formula>1</formula>
    </cfRule>
  </conditionalFormatting>
  <conditionalFormatting sqref="Z77">
    <cfRule type="cellIs" dxfId="290" priority="452" operator="equal">
      <formula>1</formula>
    </cfRule>
  </conditionalFormatting>
  <conditionalFormatting sqref="Z77">
    <cfRule type="colorScale" priority="453">
      <colorScale>
        <cfvo type="num" val="1"/>
        <cfvo type="num" val="10"/>
        <color rgb="FF00B050"/>
        <color rgb="FFFFEF9C"/>
      </colorScale>
    </cfRule>
    <cfRule type="colorScale" priority="454">
      <colorScale>
        <cfvo type="num" val="2"/>
        <cfvo type="max"/>
        <color rgb="FF0070C0"/>
        <color rgb="FFFFEF9C"/>
      </colorScale>
    </cfRule>
  </conditionalFormatting>
  <conditionalFormatting sqref="Z76">
    <cfRule type="cellIs" dxfId="289" priority="449" operator="equal">
      <formula>1</formula>
    </cfRule>
  </conditionalFormatting>
  <conditionalFormatting sqref="Z76">
    <cfRule type="colorScale" priority="450">
      <colorScale>
        <cfvo type="num" val="1"/>
        <cfvo type="num" val="10"/>
        <color rgb="FF00B050"/>
        <color rgb="FFFFEF9C"/>
      </colorScale>
    </cfRule>
    <cfRule type="colorScale" priority="451">
      <colorScale>
        <cfvo type="num" val="2"/>
        <cfvo type="max"/>
        <color rgb="FF0070C0"/>
        <color rgb="FFFFEF9C"/>
      </colorScale>
    </cfRule>
  </conditionalFormatting>
  <conditionalFormatting sqref="Z31">
    <cfRule type="cellIs" dxfId="288" priority="448" operator="equal">
      <formula>1</formula>
    </cfRule>
  </conditionalFormatting>
  <conditionalFormatting sqref="Z31">
    <cfRule type="cellIs" dxfId="287" priority="447" operator="equal">
      <formula>1</formula>
    </cfRule>
  </conditionalFormatting>
  <conditionalFormatting sqref="Z33">
    <cfRule type="cellIs" dxfId="286" priority="446" operator="equal">
      <formula>1</formula>
    </cfRule>
  </conditionalFormatting>
  <conditionalFormatting sqref="Z33">
    <cfRule type="cellIs" dxfId="285" priority="445" operator="equal">
      <formula>1</formula>
    </cfRule>
  </conditionalFormatting>
  <conditionalFormatting sqref="Z82">
    <cfRule type="cellIs" dxfId="284" priority="444" operator="equal">
      <formula>1</formula>
    </cfRule>
  </conditionalFormatting>
  <conditionalFormatting sqref="Z84:Z86">
    <cfRule type="cellIs" dxfId="283" priority="441" operator="equal">
      <formula>1</formula>
    </cfRule>
  </conditionalFormatting>
  <conditionalFormatting sqref="Z83">
    <cfRule type="cellIs" dxfId="282" priority="440" operator="equal">
      <formula>1</formula>
    </cfRule>
  </conditionalFormatting>
  <conditionalFormatting sqref="Z83">
    <cfRule type="cellIs" dxfId="281" priority="439" operator="equal">
      <formula>1</formula>
    </cfRule>
  </conditionalFormatting>
  <conditionalFormatting sqref="Z84:Z86 Z82">
    <cfRule type="colorScale" priority="442">
      <colorScale>
        <cfvo type="num" val="1"/>
        <cfvo type="num" val="10"/>
        <color rgb="FF00B050"/>
        <color rgb="FFFFEF9C"/>
      </colorScale>
    </cfRule>
    <cfRule type="colorScale" priority="443">
      <colorScale>
        <cfvo type="num" val="2"/>
        <cfvo type="max"/>
        <color rgb="FF0070C0"/>
        <color rgb="FFFFEF9C"/>
      </colorScale>
    </cfRule>
  </conditionalFormatting>
  <conditionalFormatting sqref="AA42">
    <cfRule type="cellIs" dxfId="280" priority="386" operator="equal">
      <formula>1</formula>
    </cfRule>
  </conditionalFormatting>
  <conditionalFormatting sqref="Z5">
    <cfRule type="cellIs" dxfId="279" priority="438" operator="equal">
      <formula>1</formula>
    </cfRule>
  </conditionalFormatting>
  <conditionalFormatting sqref="AA42">
    <cfRule type="cellIs" dxfId="278" priority="385" operator="equal">
      <formula>1</formula>
    </cfRule>
  </conditionalFormatting>
  <conditionalFormatting sqref="Z5">
    <cfRule type="cellIs" dxfId="277" priority="437" operator="equal">
      <formula>1</formula>
    </cfRule>
  </conditionalFormatting>
  <conditionalFormatting sqref="AA69:AA74">
    <cfRule type="cellIs" dxfId="276" priority="432" operator="equal">
      <formula>1</formula>
    </cfRule>
  </conditionalFormatting>
  <conditionalFormatting sqref="AA51">
    <cfRule type="cellIs" dxfId="275" priority="431" operator="equal">
      <formula>1</formula>
    </cfRule>
  </conditionalFormatting>
  <conditionalFormatting sqref="AA37:AA38 AA43:AA48">
    <cfRule type="cellIs" dxfId="274" priority="429" operator="equal">
      <formula>1</formula>
    </cfRule>
  </conditionalFormatting>
  <conditionalFormatting sqref="AA65:AA67">
    <cfRule type="cellIs" dxfId="273" priority="420" operator="equal">
      <formula>1</formula>
    </cfRule>
  </conditionalFormatting>
  <conditionalFormatting sqref="AA34:AA35">
    <cfRule type="cellIs" dxfId="272" priority="419" operator="equal">
      <formula>1</formula>
    </cfRule>
  </conditionalFormatting>
  <conditionalFormatting sqref="AA10">
    <cfRule type="cellIs" dxfId="271" priority="406" operator="equal">
      <formula>1</formula>
    </cfRule>
  </conditionalFormatting>
  <conditionalFormatting sqref="AA40">
    <cfRule type="cellIs" dxfId="270" priority="407" operator="equal">
      <formula>1</formula>
    </cfRule>
  </conditionalFormatting>
  <conditionalFormatting sqref="AA44">
    <cfRule type="cellIs" dxfId="269" priority="408" operator="equal">
      <formula>1</formula>
    </cfRule>
  </conditionalFormatting>
  <conditionalFormatting sqref="AA59">
    <cfRule type="cellIs" dxfId="268" priority="409" operator="equal">
      <formula>1</formula>
    </cfRule>
  </conditionalFormatting>
  <conditionalFormatting sqref="AA12">
    <cfRule type="cellIs" dxfId="267" priority="410" operator="equal">
      <formula>1</formula>
    </cfRule>
  </conditionalFormatting>
  <conditionalFormatting sqref="AA25">
    <cfRule type="cellIs" dxfId="266" priority="411" operator="equal">
      <formula>1</formula>
    </cfRule>
  </conditionalFormatting>
  <conditionalFormatting sqref="AA13">
    <cfRule type="cellIs" dxfId="265" priority="412" operator="equal">
      <formula>1</formula>
    </cfRule>
  </conditionalFormatting>
  <conditionalFormatting sqref="AA14">
    <cfRule type="cellIs" dxfId="264" priority="413" operator="equal">
      <formula>1</formula>
    </cfRule>
  </conditionalFormatting>
  <conditionalFormatting sqref="AA57">
    <cfRule type="cellIs" dxfId="263" priority="414" operator="equal">
      <formula>1</formula>
    </cfRule>
  </conditionalFormatting>
  <conditionalFormatting sqref="AA57">
    <cfRule type="cellIs" dxfId="262" priority="415" operator="equal">
      <formula>1</formula>
    </cfRule>
  </conditionalFormatting>
  <conditionalFormatting sqref="AA38">
    <cfRule type="cellIs" dxfId="261" priority="416" operator="equal">
      <formula>1</formula>
    </cfRule>
  </conditionalFormatting>
  <conditionalFormatting sqref="AA23">
    <cfRule type="cellIs" dxfId="260" priority="417" operator="equal">
      <formula>1</formula>
    </cfRule>
  </conditionalFormatting>
  <conditionalFormatting sqref="AA8">
    <cfRule type="cellIs" dxfId="259" priority="418" operator="equal">
      <formula>1</formula>
    </cfRule>
  </conditionalFormatting>
  <conditionalFormatting sqref="AA9">
    <cfRule type="cellIs" dxfId="258" priority="405" operator="equal">
      <formula>1</formula>
    </cfRule>
  </conditionalFormatting>
  <conditionalFormatting sqref="AA15:AA16">
    <cfRule type="cellIs" dxfId="257" priority="404" operator="equal">
      <formula>1</formula>
    </cfRule>
  </conditionalFormatting>
  <conditionalFormatting sqref="AA26 AA20">
    <cfRule type="cellIs" dxfId="256" priority="401" operator="equal">
      <formula>1</formula>
    </cfRule>
  </conditionalFormatting>
  <conditionalFormatting sqref="AA43">
    <cfRule type="cellIs" dxfId="255" priority="402" operator="equal">
      <formula>1</formula>
    </cfRule>
  </conditionalFormatting>
  <conditionalFormatting sqref="AA26">
    <cfRule type="cellIs" dxfId="254" priority="403" operator="equal">
      <formula>1</formula>
    </cfRule>
  </conditionalFormatting>
  <conditionalFormatting sqref="AA23">
    <cfRule type="cellIs" dxfId="253" priority="400" operator="equal">
      <formula>1</formula>
    </cfRule>
  </conditionalFormatting>
  <conditionalFormatting sqref="AA8">
    <cfRule type="cellIs" dxfId="252" priority="395" operator="equal">
      <formula>1</formula>
    </cfRule>
  </conditionalFormatting>
  <conditionalFormatting sqref="AA8">
    <cfRule type="cellIs" dxfId="251" priority="396" operator="equal">
      <formula>1</formula>
    </cfRule>
  </conditionalFormatting>
  <conditionalFormatting sqref="AA8">
    <cfRule type="cellIs" dxfId="250" priority="397" operator="equal">
      <formula>1</formula>
    </cfRule>
  </conditionalFormatting>
  <conditionalFormatting sqref="AA8">
    <cfRule type="cellIs" dxfId="249" priority="398" operator="equal">
      <formula>1</formula>
    </cfRule>
  </conditionalFormatting>
  <conditionalFormatting sqref="AA20 AA26">
    <cfRule type="cellIs" dxfId="248" priority="399" operator="equal">
      <formula>1</formula>
    </cfRule>
  </conditionalFormatting>
  <conditionalFormatting sqref="AA8:AA10 AA12:AA16 AA57 AA59 AA20 AA53">
    <cfRule type="cellIs" dxfId="247" priority="394" operator="equal">
      <formula>1</formula>
    </cfRule>
  </conditionalFormatting>
  <conditionalFormatting sqref="AA22">
    <cfRule type="cellIs" dxfId="246" priority="393" operator="equal">
      <formula>1</formula>
    </cfRule>
  </conditionalFormatting>
  <conditionalFormatting sqref="AA54">
    <cfRule type="cellIs" dxfId="245" priority="372" operator="equal">
      <formula>1</formula>
    </cfRule>
  </conditionalFormatting>
  <conditionalFormatting sqref="AA36">
    <cfRule type="cellIs" dxfId="244" priority="373" operator="equal">
      <formula>1</formula>
    </cfRule>
  </conditionalFormatting>
  <conditionalFormatting sqref="AA19">
    <cfRule type="cellIs" dxfId="243" priority="392" operator="equal">
      <formula>1</formula>
    </cfRule>
  </conditionalFormatting>
  <conditionalFormatting sqref="AA56">
    <cfRule type="cellIs" dxfId="242" priority="384" operator="equal">
      <formula>1</formula>
    </cfRule>
  </conditionalFormatting>
  <conditionalFormatting sqref="AA56">
    <cfRule type="cellIs" dxfId="241" priority="380" operator="equal">
      <formula>1</formula>
    </cfRule>
  </conditionalFormatting>
  <conditionalFormatting sqref="AA56">
    <cfRule type="cellIs" dxfId="240" priority="381" operator="equal">
      <formula>1</formula>
    </cfRule>
  </conditionalFormatting>
  <conditionalFormatting sqref="AA56">
    <cfRule type="cellIs" dxfId="239" priority="382" operator="equal">
      <formula>1</formula>
    </cfRule>
  </conditionalFormatting>
  <conditionalFormatting sqref="AA56">
    <cfRule type="cellIs" dxfId="238" priority="383" operator="equal">
      <formula>1</formula>
    </cfRule>
  </conditionalFormatting>
  <conditionalFormatting sqref="AA28:AA30">
    <cfRule type="cellIs" dxfId="237" priority="377" operator="equal">
      <formula>1</formula>
    </cfRule>
  </conditionalFormatting>
  <conditionalFormatting sqref="AA52">
    <cfRule type="cellIs" dxfId="236" priority="376" operator="equal">
      <formula>1</formula>
    </cfRule>
  </conditionalFormatting>
  <conditionalFormatting sqref="AA52">
    <cfRule type="cellIs" dxfId="235" priority="375" operator="equal">
      <formula>1</formula>
    </cfRule>
  </conditionalFormatting>
  <conditionalFormatting sqref="AA36">
    <cfRule type="cellIs" dxfId="234" priority="374" operator="equal">
      <formula>1</formula>
    </cfRule>
  </conditionalFormatting>
  <conditionalFormatting sqref="AA54">
    <cfRule type="cellIs" dxfId="233" priority="368" operator="equal">
      <formula>1</formula>
    </cfRule>
  </conditionalFormatting>
  <conditionalFormatting sqref="AA54">
    <cfRule type="cellIs" dxfId="232" priority="369" operator="equal">
      <formula>1</formula>
    </cfRule>
  </conditionalFormatting>
  <conditionalFormatting sqref="AA54">
    <cfRule type="cellIs" dxfId="231" priority="370" operator="equal">
      <formula>1</formula>
    </cfRule>
  </conditionalFormatting>
  <conditionalFormatting sqref="AA54">
    <cfRule type="cellIs" dxfId="230" priority="371" operator="equal">
      <formula>1</formula>
    </cfRule>
  </conditionalFormatting>
  <conditionalFormatting sqref="AA17">
    <cfRule type="cellIs" dxfId="229" priority="367" operator="equal">
      <formula>1</formula>
    </cfRule>
  </conditionalFormatting>
  <conditionalFormatting sqref="AA17">
    <cfRule type="cellIs" dxfId="228" priority="366" operator="equal">
      <formula>1</formula>
    </cfRule>
  </conditionalFormatting>
  <conditionalFormatting sqref="AA49">
    <cfRule type="cellIs" dxfId="227" priority="365" operator="equal">
      <formula>1</formula>
    </cfRule>
  </conditionalFormatting>
  <conditionalFormatting sqref="AA80:AA81">
    <cfRule type="cellIs" dxfId="226" priority="358" operator="equal">
      <formula>1</formula>
    </cfRule>
  </conditionalFormatting>
  <conditionalFormatting sqref="AA75">
    <cfRule type="cellIs" dxfId="225" priority="357" operator="equal">
      <formula>1</formula>
    </cfRule>
  </conditionalFormatting>
  <conditionalFormatting sqref="AA79">
    <cfRule type="cellIs" dxfId="224" priority="354" operator="equal">
      <formula>1</formula>
    </cfRule>
  </conditionalFormatting>
  <conditionalFormatting sqref="AA21">
    <cfRule type="cellIs" dxfId="223" priority="353" operator="equal">
      <formula>1</formula>
    </cfRule>
  </conditionalFormatting>
  <conditionalFormatting sqref="AA68">
    <cfRule type="cellIs" dxfId="222" priority="350" operator="equal">
      <formula>1</formula>
    </cfRule>
  </conditionalFormatting>
  <conditionalFormatting sqref="AA6">
    <cfRule type="cellIs" dxfId="221" priority="349" operator="equal">
      <formula>1</formula>
    </cfRule>
  </conditionalFormatting>
  <conditionalFormatting sqref="AA27">
    <cfRule type="cellIs" dxfId="220" priority="348" operator="equal">
      <formula>1</formula>
    </cfRule>
  </conditionalFormatting>
  <conditionalFormatting sqref="AA69:AA72 AA65:AA67">
    <cfRule type="colorScale" priority="421">
      <colorScale>
        <cfvo type="num" val="1"/>
        <cfvo type="num" val="10"/>
        <color rgb="FF00B050"/>
        <color rgb="FFFFEF9C"/>
      </colorScale>
    </cfRule>
    <cfRule type="colorScale" priority="422">
      <colorScale>
        <cfvo type="num" val="2"/>
        <cfvo type="max"/>
        <color rgb="FF0070C0"/>
        <color rgb="FFFFEF9C"/>
      </colorScale>
    </cfRule>
  </conditionalFormatting>
  <conditionalFormatting sqref="AA68">
    <cfRule type="colorScale" priority="427">
      <colorScale>
        <cfvo type="num" val="1"/>
        <cfvo type="num" val="10"/>
        <color rgb="FF00B050"/>
        <color rgb="FFFFEF9C"/>
      </colorScale>
    </cfRule>
    <cfRule type="colorScale" priority="428">
      <colorScale>
        <cfvo type="num" val="2"/>
        <cfvo type="max"/>
        <color rgb="FF0070C0"/>
        <color rgb="FFFFEF9C"/>
      </colorScale>
    </cfRule>
  </conditionalFormatting>
  <conditionalFormatting sqref="AA50">
    <cfRule type="cellIs" dxfId="219" priority="347" operator="equal">
      <formula>1</formula>
    </cfRule>
  </conditionalFormatting>
  <conditionalFormatting sqref="AA78">
    <cfRule type="cellIs" dxfId="218" priority="344" operator="equal">
      <formula>1</formula>
    </cfRule>
  </conditionalFormatting>
  <conditionalFormatting sqref="AA78">
    <cfRule type="colorScale" priority="345">
      <colorScale>
        <cfvo type="num" val="1"/>
        <cfvo type="num" val="10"/>
        <color rgb="FF00B050"/>
        <color rgb="FFFFEF9C"/>
      </colorScale>
    </cfRule>
    <cfRule type="colorScale" priority="346">
      <colorScale>
        <cfvo type="num" val="2"/>
        <cfvo type="max"/>
        <color rgb="FF0070C0"/>
        <color rgb="FFFFEF9C"/>
      </colorScale>
    </cfRule>
  </conditionalFormatting>
  <conditionalFormatting sqref="AA11">
    <cfRule type="cellIs" dxfId="217" priority="337" operator="equal">
      <formula>1</formula>
    </cfRule>
  </conditionalFormatting>
  <conditionalFormatting sqref="AA11">
    <cfRule type="cellIs" dxfId="216" priority="333" operator="equal">
      <formula>1</formula>
    </cfRule>
  </conditionalFormatting>
  <conditionalFormatting sqref="AA11">
    <cfRule type="cellIs" dxfId="215" priority="334" operator="equal">
      <formula>1</formula>
    </cfRule>
  </conditionalFormatting>
  <conditionalFormatting sqref="AA11">
    <cfRule type="cellIs" dxfId="214" priority="335" operator="equal">
      <formula>1</formula>
    </cfRule>
  </conditionalFormatting>
  <conditionalFormatting sqref="AA11">
    <cfRule type="cellIs" dxfId="213" priority="336" operator="equal">
      <formula>1</formula>
    </cfRule>
  </conditionalFormatting>
  <conditionalFormatting sqref="AA11">
    <cfRule type="cellIs" dxfId="212" priority="332" operator="equal">
      <formula>1</formula>
    </cfRule>
  </conditionalFormatting>
  <conditionalFormatting sqref="AA32">
    <cfRule type="cellIs" dxfId="211" priority="331" operator="equal">
      <formula>1</formula>
    </cfRule>
  </conditionalFormatting>
  <conditionalFormatting sqref="AA73:AA74">
    <cfRule type="colorScale" priority="435">
      <colorScale>
        <cfvo type="num" val="1"/>
        <cfvo type="num" val="10"/>
        <color rgb="FF00B050"/>
        <color rgb="FFFFEF9C"/>
      </colorScale>
    </cfRule>
    <cfRule type="colorScale" priority="436">
      <colorScale>
        <cfvo type="num" val="2"/>
        <cfvo type="max"/>
        <color rgb="FF0070C0"/>
        <color rgb="FFFFEF9C"/>
      </colorScale>
    </cfRule>
  </conditionalFormatting>
  <conditionalFormatting sqref="AA18">
    <cfRule type="cellIs" dxfId="210" priority="319" operator="equal">
      <formula>1</formula>
    </cfRule>
  </conditionalFormatting>
  <conditionalFormatting sqref="AA18">
    <cfRule type="cellIs" dxfId="209" priority="318" operator="equal">
      <formula>1</formula>
    </cfRule>
  </conditionalFormatting>
  <conditionalFormatting sqref="AA77">
    <cfRule type="cellIs" dxfId="208" priority="315" operator="equal">
      <formula>1</formula>
    </cfRule>
  </conditionalFormatting>
  <conditionalFormatting sqref="AA77">
    <cfRule type="colorScale" priority="316">
      <colorScale>
        <cfvo type="num" val="1"/>
        <cfvo type="num" val="10"/>
        <color rgb="FF00B050"/>
        <color rgb="FFFFEF9C"/>
      </colorScale>
    </cfRule>
    <cfRule type="colorScale" priority="317">
      <colorScale>
        <cfvo type="num" val="2"/>
        <cfvo type="max"/>
        <color rgb="FF0070C0"/>
        <color rgb="FFFFEF9C"/>
      </colorScale>
    </cfRule>
  </conditionalFormatting>
  <conditionalFormatting sqref="AA76">
    <cfRule type="cellIs" dxfId="207" priority="312" operator="equal">
      <formula>1</formula>
    </cfRule>
  </conditionalFormatting>
  <conditionalFormatting sqref="AA76">
    <cfRule type="colorScale" priority="313">
      <colorScale>
        <cfvo type="num" val="1"/>
        <cfvo type="num" val="10"/>
        <color rgb="FF00B050"/>
        <color rgb="FFFFEF9C"/>
      </colorScale>
    </cfRule>
    <cfRule type="colorScale" priority="314">
      <colorScale>
        <cfvo type="num" val="2"/>
        <cfvo type="max"/>
        <color rgb="FF0070C0"/>
        <color rgb="FFFFEF9C"/>
      </colorScale>
    </cfRule>
  </conditionalFormatting>
  <conditionalFormatting sqref="AA31">
    <cfRule type="cellIs" dxfId="206" priority="311" operator="equal">
      <formula>1</formula>
    </cfRule>
  </conditionalFormatting>
  <conditionalFormatting sqref="AA31">
    <cfRule type="cellIs" dxfId="205" priority="310" operator="equal">
      <formula>1</formula>
    </cfRule>
  </conditionalFormatting>
  <conditionalFormatting sqref="AA33">
    <cfRule type="cellIs" dxfId="204" priority="309" operator="equal">
      <formula>1</formula>
    </cfRule>
  </conditionalFormatting>
  <conditionalFormatting sqref="AA33">
    <cfRule type="cellIs" dxfId="203" priority="308" operator="equal">
      <formula>1</formula>
    </cfRule>
  </conditionalFormatting>
  <conditionalFormatting sqref="AA82">
    <cfRule type="cellIs" dxfId="202" priority="307" operator="equal">
      <formula>1</formula>
    </cfRule>
  </conditionalFormatting>
  <conditionalFormatting sqref="AA84:AA86">
    <cfRule type="cellIs" dxfId="201" priority="304" operator="equal">
      <formula>1</formula>
    </cfRule>
  </conditionalFormatting>
  <conditionalFormatting sqref="AA83">
    <cfRule type="cellIs" dxfId="200" priority="303" operator="equal">
      <formula>1</formula>
    </cfRule>
  </conditionalFormatting>
  <conditionalFormatting sqref="AA83">
    <cfRule type="cellIs" dxfId="199" priority="302" operator="equal">
      <formula>1</formula>
    </cfRule>
  </conditionalFormatting>
  <conditionalFormatting sqref="AA84:AA86 AA82">
    <cfRule type="colorScale" priority="305">
      <colorScale>
        <cfvo type="num" val="1"/>
        <cfvo type="num" val="10"/>
        <color rgb="FF00B050"/>
        <color rgb="FFFFEF9C"/>
      </colorScale>
    </cfRule>
    <cfRule type="colorScale" priority="306">
      <colorScale>
        <cfvo type="num" val="2"/>
        <cfvo type="max"/>
        <color rgb="FF0070C0"/>
        <color rgb="FFFFEF9C"/>
      </colorScale>
    </cfRule>
  </conditionalFormatting>
  <conditionalFormatting sqref="AA5">
    <cfRule type="cellIs" dxfId="198" priority="301" operator="equal">
      <formula>1</formula>
    </cfRule>
  </conditionalFormatting>
  <conditionalFormatting sqref="AA5">
    <cfRule type="cellIs" dxfId="197" priority="300" operator="equal">
      <formula>1</formula>
    </cfRule>
  </conditionalFormatting>
  <conditionalFormatting sqref="Z39">
    <cfRule type="cellIs" dxfId="196" priority="299" operator="equal">
      <formula>1</formula>
    </cfRule>
  </conditionalFormatting>
  <conditionalFormatting sqref="Z39">
    <cfRule type="cellIs" dxfId="195" priority="298" operator="equal">
      <formula>1</formula>
    </cfRule>
  </conditionalFormatting>
  <conditionalFormatting sqref="AA39">
    <cfRule type="cellIs" dxfId="194" priority="297" operator="equal">
      <formula>1</formula>
    </cfRule>
  </conditionalFormatting>
  <conditionalFormatting sqref="AA39">
    <cfRule type="cellIs" dxfId="193" priority="296" operator="equal">
      <formula>1</formula>
    </cfRule>
  </conditionalFormatting>
  <conditionalFormatting sqref="AB25:AB26 AB40:AB41">
    <cfRule type="cellIs" dxfId="192" priority="295" operator="equal">
      <formula>1</formula>
    </cfRule>
  </conditionalFormatting>
  <conditionalFormatting sqref="AB69:AB74">
    <cfRule type="cellIs" dxfId="191" priority="290" operator="equal">
      <formula>1</formula>
    </cfRule>
  </conditionalFormatting>
  <conditionalFormatting sqref="AB51">
    <cfRule type="cellIs" dxfId="190" priority="289" operator="equal">
      <formula>1</formula>
    </cfRule>
  </conditionalFormatting>
  <conditionalFormatting sqref="AB37:AB38 AB43:AB48">
    <cfRule type="cellIs" dxfId="189" priority="287" operator="equal">
      <formula>1</formula>
    </cfRule>
  </conditionalFormatting>
  <conditionalFormatting sqref="AB65:AB67">
    <cfRule type="cellIs" dxfId="188" priority="278" operator="equal">
      <formula>1</formula>
    </cfRule>
  </conditionalFormatting>
  <conditionalFormatting sqref="AB34:AB35">
    <cfRule type="cellIs" dxfId="187" priority="277" operator="equal">
      <formula>1</formula>
    </cfRule>
  </conditionalFormatting>
  <conditionalFormatting sqref="AB10">
    <cfRule type="cellIs" dxfId="186" priority="264" operator="equal">
      <formula>1</formula>
    </cfRule>
  </conditionalFormatting>
  <conditionalFormatting sqref="AB40">
    <cfRule type="cellIs" dxfId="185" priority="265" operator="equal">
      <formula>1</formula>
    </cfRule>
  </conditionalFormatting>
  <conditionalFormatting sqref="AB44">
    <cfRule type="cellIs" dxfId="184" priority="266" operator="equal">
      <formula>1</formula>
    </cfRule>
  </conditionalFormatting>
  <conditionalFormatting sqref="AB59">
    <cfRule type="cellIs" dxfId="183" priority="267" operator="equal">
      <formula>1</formula>
    </cfRule>
  </conditionalFormatting>
  <conditionalFormatting sqref="AB12">
    <cfRule type="cellIs" dxfId="182" priority="268" operator="equal">
      <formula>1</formula>
    </cfRule>
  </conditionalFormatting>
  <conditionalFormatting sqref="AB25">
    <cfRule type="cellIs" dxfId="181" priority="269" operator="equal">
      <formula>1</formula>
    </cfRule>
  </conditionalFormatting>
  <conditionalFormatting sqref="AB13">
    <cfRule type="cellIs" dxfId="180" priority="270" operator="equal">
      <formula>1</formula>
    </cfRule>
  </conditionalFormatting>
  <conditionalFormatting sqref="AB14">
    <cfRule type="cellIs" dxfId="179" priority="271" operator="equal">
      <formula>1</formula>
    </cfRule>
  </conditionalFormatting>
  <conditionalFormatting sqref="AB57">
    <cfRule type="cellIs" dxfId="178" priority="272" operator="equal">
      <formula>1</formula>
    </cfRule>
  </conditionalFormatting>
  <conditionalFormatting sqref="AB57">
    <cfRule type="cellIs" dxfId="177" priority="273" operator="equal">
      <formula>1</formula>
    </cfRule>
  </conditionalFormatting>
  <conditionalFormatting sqref="AB38">
    <cfRule type="cellIs" dxfId="176" priority="274" operator="equal">
      <formula>1</formula>
    </cfRule>
  </conditionalFormatting>
  <conditionalFormatting sqref="AB23">
    <cfRule type="cellIs" dxfId="175" priority="275" operator="equal">
      <formula>1</formula>
    </cfRule>
  </conditionalFormatting>
  <conditionalFormatting sqref="AB8">
    <cfRule type="cellIs" dxfId="174" priority="276" operator="equal">
      <formula>1</formula>
    </cfRule>
  </conditionalFormatting>
  <conditionalFormatting sqref="AB9">
    <cfRule type="cellIs" dxfId="173" priority="263" operator="equal">
      <formula>1</formula>
    </cfRule>
  </conditionalFormatting>
  <conditionalFormatting sqref="AB15:AB16">
    <cfRule type="cellIs" dxfId="172" priority="262" operator="equal">
      <formula>1</formula>
    </cfRule>
  </conditionalFormatting>
  <conditionalFormatting sqref="AB26 AB20">
    <cfRule type="cellIs" dxfId="171" priority="259" operator="equal">
      <formula>1</formula>
    </cfRule>
  </conditionalFormatting>
  <conditionalFormatting sqref="AB43">
    <cfRule type="cellIs" dxfId="170" priority="260" operator="equal">
      <formula>1</formula>
    </cfRule>
  </conditionalFormatting>
  <conditionalFormatting sqref="AB26">
    <cfRule type="cellIs" dxfId="169" priority="261" operator="equal">
      <formula>1</formula>
    </cfRule>
  </conditionalFormatting>
  <conditionalFormatting sqref="AB23">
    <cfRule type="cellIs" dxfId="168" priority="258" operator="equal">
      <formula>1</formula>
    </cfRule>
  </conditionalFormatting>
  <conditionalFormatting sqref="AB8">
    <cfRule type="cellIs" dxfId="167" priority="253" operator="equal">
      <formula>1</formula>
    </cfRule>
  </conditionalFormatting>
  <conditionalFormatting sqref="AB8">
    <cfRule type="cellIs" dxfId="166" priority="254" operator="equal">
      <formula>1</formula>
    </cfRule>
  </conditionalFormatting>
  <conditionalFormatting sqref="AB8">
    <cfRule type="cellIs" dxfId="165" priority="255" operator="equal">
      <formula>1</formula>
    </cfRule>
  </conditionalFormatting>
  <conditionalFormatting sqref="AB8">
    <cfRule type="cellIs" dxfId="164" priority="256" operator="equal">
      <formula>1</formula>
    </cfRule>
  </conditionalFormatting>
  <conditionalFormatting sqref="AB20 AB26">
    <cfRule type="cellIs" dxfId="163" priority="257" operator="equal">
      <formula>1</formula>
    </cfRule>
  </conditionalFormatting>
  <conditionalFormatting sqref="AB8:AB10 AB12:AB16 AB57 AB59 AB20 AB53">
    <cfRule type="cellIs" dxfId="162" priority="252" operator="equal">
      <formula>1</formula>
    </cfRule>
  </conditionalFormatting>
  <conditionalFormatting sqref="AB22">
    <cfRule type="cellIs" dxfId="161" priority="251" operator="equal">
      <formula>1</formula>
    </cfRule>
  </conditionalFormatting>
  <conditionalFormatting sqref="AB58">
    <cfRule type="cellIs" dxfId="160" priority="236" operator="equal">
      <formula>1</formula>
    </cfRule>
  </conditionalFormatting>
  <conditionalFormatting sqref="AB58">
    <cfRule type="cellIs" dxfId="159" priority="237" operator="equal">
      <formula>1</formula>
    </cfRule>
  </conditionalFormatting>
  <conditionalFormatting sqref="AB19">
    <cfRule type="cellIs" dxfId="158" priority="250" operator="equal">
      <formula>1</formula>
    </cfRule>
  </conditionalFormatting>
  <conditionalFormatting sqref="AB55">
    <cfRule type="cellIs" dxfId="157" priority="245" operator="equal">
      <formula>1</formula>
    </cfRule>
  </conditionalFormatting>
  <conditionalFormatting sqref="AB55">
    <cfRule type="cellIs" dxfId="156" priority="246" operator="equal">
      <formula>1</formula>
    </cfRule>
  </conditionalFormatting>
  <conditionalFormatting sqref="AB55">
    <cfRule type="cellIs" dxfId="155" priority="247" operator="equal">
      <formula>1</formula>
    </cfRule>
  </conditionalFormatting>
  <conditionalFormatting sqref="AB55">
    <cfRule type="cellIs" dxfId="154" priority="248" operator="equal">
      <formula>1</formula>
    </cfRule>
  </conditionalFormatting>
  <conditionalFormatting sqref="AB55">
    <cfRule type="cellIs" dxfId="153" priority="249" operator="equal">
      <formula>1</formula>
    </cfRule>
  </conditionalFormatting>
  <conditionalFormatting sqref="AB42">
    <cfRule type="cellIs" dxfId="152" priority="243" operator="equal">
      <formula>1</formula>
    </cfRule>
  </conditionalFormatting>
  <conditionalFormatting sqref="AB42">
    <cfRule type="cellIs" dxfId="151" priority="244" operator="equal">
      <formula>1</formula>
    </cfRule>
  </conditionalFormatting>
  <conditionalFormatting sqref="AB56">
    <cfRule type="cellIs" dxfId="150" priority="238" operator="equal">
      <formula>1</formula>
    </cfRule>
  </conditionalFormatting>
  <conditionalFormatting sqref="AB56">
    <cfRule type="cellIs" dxfId="149" priority="239" operator="equal">
      <formula>1</formula>
    </cfRule>
  </conditionalFormatting>
  <conditionalFormatting sqref="AB56">
    <cfRule type="cellIs" dxfId="148" priority="240" operator="equal">
      <formula>1</formula>
    </cfRule>
  </conditionalFormatting>
  <conditionalFormatting sqref="AB56">
    <cfRule type="cellIs" dxfId="147" priority="241" operator="equal">
      <formula>1</formula>
    </cfRule>
  </conditionalFormatting>
  <conditionalFormatting sqref="AB56">
    <cfRule type="cellIs" dxfId="146" priority="242" operator="equal">
      <formula>1</formula>
    </cfRule>
  </conditionalFormatting>
  <conditionalFormatting sqref="AB28:AB30">
    <cfRule type="cellIs" dxfId="145" priority="235" operator="equal">
      <formula>1</formula>
    </cfRule>
  </conditionalFormatting>
  <conditionalFormatting sqref="AB52">
    <cfRule type="cellIs" dxfId="144" priority="234" operator="equal">
      <formula>1</formula>
    </cfRule>
  </conditionalFormatting>
  <conditionalFormatting sqref="AB52">
    <cfRule type="cellIs" dxfId="143" priority="233" operator="equal">
      <formula>1</formula>
    </cfRule>
  </conditionalFormatting>
  <conditionalFormatting sqref="AB36">
    <cfRule type="cellIs" dxfId="142" priority="232" operator="equal">
      <formula>1</formula>
    </cfRule>
  </conditionalFormatting>
  <conditionalFormatting sqref="AB36">
    <cfRule type="cellIs" dxfId="141" priority="231" operator="equal">
      <formula>1</formula>
    </cfRule>
  </conditionalFormatting>
  <conditionalFormatting sqref="AB54">
    <cfRule type="cellIs" dxfId="140" priority="226" operator="equal">
      <formula>1</formula>
    </cfRule>
  </conditionalFormatting>
  <conditionalFormatting sqref="AB54">
    <cfRule type="cellIs" dxfId="139" priority="227" operator="equal">
      <formula>1</formula>
    </cfRule>
  </conditionalFormatting>
  <conditionalFormatting sqref="AB54">
    <cfRule type="cellIs" dxfId="138" priority="228" operator="equal">
      <formula>1</formula>
    </cfRule>
  </conditionalFormatting>
  <conditionalFormatting sqref="AB54">
    <cfRule type="cellIs" dxfId="137" priority="229" operator="equal">
      <formula>1</formula>
    </cfRule>
  </conditionalFormatting>
  <conditionalFormatting sqref="AB54">
    <cfRule type="cellIs" dxfId="136" priority="230" operator="equal">
      <formula>1</formula>
    </cfRule>
  </conditionalFormatting>
  <conditionalFormatting sqref="AB17">
    <cfRule type="cellIs" dxfId="135" priority="225" operator="equal">
      <formula>1</formula>
    </cfRule>
  </conditionalFormatting>
  <conditionalFormatting sqref="AB17">
    <cfRule type="cellIs" dxfId="134" priority="224" operator="equal">
      <formula>1</formula>
    </cfRule>
  </conditionalFormatting>
  <conditionalFormatting sqref="AB49">
    <cfRule type="cellIs" dxfId="133" priority="223" operator="equal">
      <formula>1</formula>
    </cfRule>
  </conditionalFormatting>
  <conditionalFormatting sqref="AB80:AB81">
    <cfRule type="cellIs" dxfId="132" priority="216" operator="equal">
      <formula>1</formula>
    </cfRule>
  </conditionalFormatting>
  <conditionalFormatting sqref="AB75">
    <cfRule type="cellIs" dxfId="131" priority="215" operator="equal">
      <formula>1</formula>
    </cfRule>
  </conditionalFormatting>
  <conditionalFormatting sqref="AB79">
    <cfRule type="cellIs" dxfId="130" priority="212" operator="equal">
      <formula>1</formula>
    </cfRule>
  </conditionalFormatting>
  <conditionalFormatting sqref="AB21">
    <cfRule type="cellIs" dxfId="129" priority="211" operator="equal">
      <formula>1</formula>
    </cfRule>
  </conditionalFormatting>
  <conditionalFormatting sqref="AB68">
    <cfRule type="cellIs" dxfId="128" priority="208" operator="equal">
      <formula>1</formula>
    </cfRule>
  </conditionalFormatting>
  <conditionalFormatting sqref="AB6">
    <cfRule type="cellIs" dxfId="127" priority="207" operator="equal">
      <formula>1</formula>
    </cfRule>
  </conditionalFormatting>
  <conditionalFormatting sqref="AB27">
    <cfRule type="cellIs" dxfId="126" priority="206" operator="equal">
      <formula>1</formula>
    </cfRule>
  </conditionalFormatting>
  <conditionalFormatting sqref="AB69:AB72 AB65:AB67">
    <cfRule type="colorScale" priority="279">
      <colorScale>
        <cfvo type="num" val="1"/>
        <cfvo type="num" val="10"/>
        <color rgb="FF00B050"/>
        <color rgb="FFFFEF9C"/>
      </colorScale>
    </cfRule>
    <cfRule type="colorScale" priority="280">
      <colorScale>
        <cfvo type="num" val="2"/>
        <cfvo type="max"/>
        <color rgb="FF0070C0"/>
        <color rgb="FFFFEF9C"/>
      </colorScale>
    </cfRule>
  </conditionalFormatting>
  <conditionalFormatting sqref="AB68">
    <cfRule type="colorScale" priority="285">
      <colorScale>
        <cfvo type="num" val="1"/>
        <cfvo type="num" val="10"/>
        <color rgb="FF00B050"/>
        <color rgb="FFFFEF9C"/>
      </colorScale>
    </cfRule>
    <cfRule type="colorScale" priority="286">
      <colorScale>
        <cfvo type="num" val="2"/>
        <cfvo type="max"/>
        <color rgb="FF0070C0"/>
        <color rgb="FFFFEF9C"/>
      </colorScale>
    </cfRule>
  </conditionalFormatting>
  <conditionalFormatting sqref="AB50">
    <cfRule type="cellIs" dxfId="125" priority="205" operator="equal">
      <formula>1</formula>
    </cfRule>
  </conditionalFormatting>
  <conditionalFormatting sqref="AB78">
    <cfRule type="cellIs" dxfId="124" priority="202" operator="equal">
      <formula>1</formula>
    </cfRule>
  </conditionalFormatting>
  <conditionalFormatting sqref="AB78">
    <cfRule type="colorScale" priority="203">
      <colorScale>
        <cfvo type="num" val="1"/>
        <cfvo type="num" val="10"/>
        <color rgb="FF00B050"/>
        <color rgb="FFFFEF9C"/>
      </colorScale>
    </cfRule>
    <cfRule type="colorScale" priority="204">
      <colorScale>
        <cfvo type="num" val="2"/>
        <cfvo type="max"/>
        <color rgb="FF0070C0"/>
        <color rgb="FFFFEF9C"/>
      </colorScale>
    </cfRule>
  </conditionalFormatting>
  <conditionalFormatting sqref="AB11">
    <cfRule type="cellIs" dxfId="123" priority="195" operator="equal">
      <formula>1</formula>
    </cfRule>
  </conditionalFormatting>
  <conditionalFormatting sqref="AB11">
    <cfRule type="cellIs" dxfId="122" priority="191" operator="equal">
      <formula>1</formula>
    </cfRule>
  </conditionalFormatting>
  <conditionalFormatting sqref="AB11">
    <cfRule type="cellIs" dxfId="121" priority="192" operator="equal">
      <formula>1</formula>
    </cfRule>
  </conditionalFormatting>
  <conditionalFormatting sqref="AB11">
    <cfRule type="cellIs" dxfId="120" priority="193" operator="equal">
      <formula>1</formula>
    </cfRule>
  </conditionalFormatting>
  <conditionalFormatting sqref="AB11">
    <cfRule type="cellIs" dxfId="119" priority="194" operator="equal">
      <formula>1</formula>
    </cfRule>
  </conditionalFormatting>
  <conditionalFormatting sqref="AB11">
    <cfRule type="cellIs" dxfId="118" priority="190" operator="equal">
      <formula>1</formula>
    </cfRule>
  </conditionalFormatting>
  <conditionalFormatting sqref="AB32">
    <cfRule type="cellIs" dxfId="117" priority="189" operator="equal">
      <formula>1</formula>
    </cfRule>
  </conditionalFormatting>
  <conditionalFormatting sqref="AB60">
    <cfRule type="cellIs" dxfId="116" priority="187" operator="equal">
      <formula>1</formula>
    </cfRule>
  </conditionalFormatting>
  <conditionalFormatting sqref="AB73:AB74">
    <cfRule type="colorScale" priority="293">
      <colorScale>
        <cfvo type="num" val="1"/>
        <cfvo type="num" val="10"/>
        <color rgb="FF00B050"/>
        <color rgb="FFFFEF9C"/>
      </colorScale>
    </cfRule>
    <cfRule type="colorScale" priority="294">
      <colorScale>
        <cfvo type="num" val="2"/>
        <cfvo type="max"/>
        <color rgb="FF0070C0"/>
        <color rgb="FFFFEF9C"/>
      </colorScale>
    </cfRule>
  </conditionalFormatting>
  <conditionalFormatting sqref="AB18">
    <cfRule type="cellIs" dxfId="115" priority="177" operator="equal">
      <formula>1</formula>
    </cfRule>
  </conditionalFormatting>
  <conditionalFormatting sqref="AB18">
    <cfRule type="cellIs" dxfId="114" priority="176" operator="equal">
      <formula>1</formula>
    </cfRule>
  </conditionalFormatting>
  <conditionalFormatting sqref="AB77">
    <cfRule type="cellIs" dxfId="113" priority="173" operator="equal">
      <formula>1</formula>
    </cfRule>
  </conditionalFormatting>
  <conditionalFormatting sqref="AB77">
    <cfRule type="colorScale" priority="174">
      <colorScale>
        <cfvo type="num" val="1"/>
        <cfvo type="num" val="10"/>
        <color rgb="FF00B050"/>
        <color rgb="FFFFEF9C"/>
      </colorScale>
    </cfRule>
    <cfRule type="colorScale" priority="175">
      <colorScale>
        <cfvo type="num" val="2"/>
        <cfvo type="max"/>
        <color rgb="FF0070C0"/>
        <color rgb="FFFFEF9C"/>
      </colorScale>
    </cfRule>
  </conditionalFormatting>
  <conditionalFormatting sqref="AB76">
    <cfRule type="cellIs" dxfId="112" priority="170" operator="equal">
      <formula>1</formula>
    </cfRule>
  </conditionalFormatting>
  <conditionalFormatting sqref="AB76">
    <cfRule type="colorScale" priority="171">
      <colorScale>
        <cfvo type="num" val="1"/>
        <cfvo type="num" val="10"/>
        <color rgb="FF00B050"/>
        <color rgb="FFFFEF9C"/>
      </colorScale>
    </cfRule>
    <cfRule type="colorScale" priority="172">
      <colorScale>
        <cfvo type="num" val="2"/>
        <cfvo type="max"/>
        <color rgb="FF0070C0"/>
        <color rgb="FFFFEF9C"/>
      </colorScale>
    </cfRule>
  </conditionalFormatting>
  <conditionalFormatting sqref="AB31">
    <cfRule type="cellIs" dxfId="111" priority="169" operator="equal">
      <formula>1</formula>
    </cfRule>
  </conditionalFormatting>
  <conditionalFormatting sqref="AB31">
    <cfRule type="cellIs" dxfId="110" priority="168" operator="equal">
      <formula>1</formula>
    </cfRule>
  </conditionalFormatting>
  <conditionalFormatting sqref="AB33">
    <cfRule type="cellIs" dxfId="109" priority="167" operator="equal">
      <formula>1</formula>
    </cfRule>
  </conditionalFormatting>
  <conditionalFormatting sqref="AB33">
    <cfRule type="cellIs" dxfId="108" priority="166" operator="equal">
      <formula>1</formula>
    </cfRule>
  </conditionalFormatting>
  <conditionalFormatting sqref="AB82">
    <cfRule type="cellIs" dxfId="107" priority="165" operator="equal">
      <formula>1</formula>
    </cfRule>
  </conditionalFormatting>
  <conditionalFormatting sqref="AB84:AB86">
    <cfRule type="cellIs" dxfId="106" priority="162" operator="equal">
      <formula>1</formula>
    </cfRule>
  </conditionalFormatting>
  <conditionalFormatting sqref="AB83">
    <cfRule type="cellIs" dxfId="105" priority="161" operator="equal">
      <formula>1</formula>
    </cfRule>
  </conditionalFormatting>
  <conditionalFormatting sqref="AB83">
    <cfRule type="cellIs" dxfId="104" priority="160" operator="equal">
      <formula>1</formula>
    </cfRule>
  </conditionalFormatting>
  <conditionalFormatting sqref="AB84:AB86 AB82">
    <cfRule type="colorScale" priority="163">
      <colorScale>
        <cfvo type="num" val="1"/>
        <cfvo type="num" val="10"/>
        <color rgb="FF00B050"/>
        <color rgb="FFFFEF9C"/>
      </colorScale>
    </cfRule>
    <cfRule type="colorScale" priority="164">
      <colorScale>
        <cfvo type="num" val="2"/>
        <cfvo type="max"/>
        <color rgb="FF0070C0"/>
        <color rgb="FFFFEF9C"/>
      </colorScale>
    </cfRule>
  </conditionalFormatting>
  <conditionalFormatting sqref="AC55">
    <cfRule type="cellIs" dxfId="103" priority="106" operator="equal">
      <formula>1</formula>
    </cfRule>
  </conditionalFormatting>
  <conditionalFormatting sqref="AB5">
    <cfRule type="cellIs" dxfId="102" priority="159" operator="equal">
      <formula>1</formula>
    </cfRule>
  </conditionalFormatting>
  <conditionalFormatting sqref="AC55">
    <cfRule type="cellIs" dxfId="101" priority="105" operator="equal">
      <formula>1</formula>
    </cfRule>
  </conditionalFormatting>
  <conditionalFormatting sqref="AB5">
    <cfRule type="cellIs" dxfId="100" priority="158" operator="equal">
      <formula>1</formula>
    </cfRule>
  </conditionalFormatting>
  <conditionalFormatting sqref="AB39">
    <cfRule type="cellIs" dxfId="99" priority="157" operator="equal">
      <formula>1</formula>
    </cfRule>
  </conditionalFormatting>
  <conditionalFormatting sqref="AB39">
    <cfRule type="cellIs" dxfId="98" priority="156" operator="equal">
      <formula>1</formula>
    </cfRule>
  </conditionalFormatting>
  <conditionalFormatting sqref="AC25:AC26 AC40:AC41">
    <cfRule type="cellIs" dxfId="97" priority="155" operator="equal">
      <formula>1</formula>
    </cfRule>
  </conditionalFormatting>
  <conditionalFormatting sqref="AC69:AC74">
    <cfRule type="cellIs" dxfId="96" priority="150" operator="equal">
      <formula>1</formula>
    </cfRule>
  </conditionalFormatting>
  <conditionalFormatting sqref="AC51">
    <cfRule type="cellIs" dxfId="95" priority="149" operator="equal">
      <formula>1</formula>
    </cfRule>
  </conditionalFormatting>
  <conditionalFormatting sqref="AC65:AC67">
    <cfRule type="cellIs" dxfId="94" priority="138" operator="equal">
      <formula>1</formula>
    </cfRule>
  </conditionalFormatting>
  <conditionalFormatting sqref="AC34:AC35">
    <cfRule type="cellIs" dxfId="93" priority="137" operator="equal">
      <formula>1</formula>
    </cfRule>
  </conditionalFormatting>
  <conditionalFormatting sqref="AC10">
    <cfRule type="cellIs" dxfId="92" priority="124" operator="equal">
      <formula>1</formula>
    </cfRule>
  </conditionalFormatting>
  <conditionalFormatting sqref="AC40">
    <cfRule type="cellIs" dxfId="91" priority="125" operator="equal">
      <formula>1</formula>
    </cfRule>
  </conditionalFormatting>
  <conditionalFormatting sqref="AC44">
    <cfRule type="cellIs" dxfId="90" priority="126" operator="equal">
      <formula>1</formula>
    </cfRule>
  </conditionalFormatting>
  <conditionalFormatting sqref="AC59">
    <cfRule type="cellIs" dxfId="89" priority="127" operator="equal">
      <formula>1</formula>
    </cfRule>
  </conditionalFormatting>
  <conditionalFormatting sqref="AC12">
    <cfRule type="cellIs" dxfId="88" priority="128" operator="equal">
      <formula>1</formula>
    </cfRule>
  </conditionalFormatting>
  <conditionalFormatting sqref="AC25">
    <cfRule type="cellIs" dxfId="87" priority="129" operator="equal">
      <formula>1</formula>
    </cfRule>
  </conditionalFormatting>
  <conditionalFormatting sqref="AC13">
    <cfRule type="cellIs" dxfId="86" priority="130" operator="equal">
      <formula>1</formula>
    </cfRule>
  </conditionalFormatting>
  <conditionalFormatting sqref="AC14">
    <cfRule type="cellIs" dxfId="85" priority="131" operator="equal">
      <formula>1</formula>
    </cfRule>
  </conditionalFormatting>
  <conditionalFormatting sqref="AC57">
    <cfRule type="cellIs" dxfId="84" priority="132" operator="equal">
      <formula>1</formula>
    </cfRule>
  </conditionalFormatting>
  <conditionalFormatting sqref="AC57">
    <cfRule type="cellIs" dxfId="83" priority="133" operator="equal">
      <formula>1</formula>
    </cfRule>
  </conditionalFormatting>
  <conditionalFormatting sqref="AC38">
    <cfRule type="cellIs" dxfId="82" priority="134" operator="equal">
      <formula>1</formula>
    </cfRule>
  </conditionalFormatting>
  <conditionalFormatting sqref="AC23">
    <cfRule type="cellIs" dxfId="81" priority="135" operator="equal">
      <formula>1</formula>
    </cfRule>
  </conditionalFormatting>
  <conditionalFormatting sqref="AC8">
    <cfRule type="cellIs" dxfId="80" priority="136" operator="equal">
      <formula>1</formula>
    </cfRule>
  </conditionalFormatting>
  <conditionalFormatting sqref="AC9">
    <cfRule type="cellIs" dxfId="79" priority="123" operator="equal">
      <formula>1</formula>
    </cfRule>
  </conditionalFormatting>
  <conditionalFormatting sqref="AC15:AC16">
    <cfRule type="cellIs" dxfId="78" priority="122" operator="equal">
      <formula>1</formula>
    </cfRule>
  </conditionalFormatting>
  <conditionalFormatting sqref="AC26 AC20">
    <cfRule type="cellIs" dxfId="77" priority="119" operator="equal">
      <formula>1</formula>
    </cfRule>
  </conditionalFormatting>
  <conditionalFormatting sqref="AC43">
    <cfRule type="cellIs" dxfId="76" priority="120" operator="equal">
      <formula>1</formula>
    </cfRule>
  </conditionalFormatting>
  <conditionalFormatting sqref="AC26">
    <cfRule type="cellIs" dxfId="75" priority="121" operator="equal">
      <formula>1</formula>
    </cfRule>
  </conditionalFormatting>
  <conditionalFormatting sqref="AC23">
    <cfRule type="cellIs" dxfId="74" priority="118" operator="equal">
      <formula>1</formula>
    </cfRule>
  </conditionalFormatting>
  <conditionalFormatting sqref="AC8">
    <cfRule type="cellIs" dxfId="73" priority="113" operator="equal">
      <formula>1</formula>
    </cfRule>
  </conditionalFormatting>
  <conditionalFormatting sqref="AC8">
    <cfRule type="cellIs" dxfId="72" priority="114" operator="equal">
      <formula>1</formula>
    </cfRule>
  </conditionalFormatting>
  <conditionalFormatting sqref="AC8">
    <cfRule type="cellIs" dxfId="71" priority="115" operator="equal">
      <formula>1</formula>
    </cfRule>
  </conditionalFormatting>
  <conditionalFormatting sqref="AC8">
    <cfRule type="cellIs" dxfId="70" priority="116" operator="equal">
      <formula>1</formula>
    </cfRule>
  </conditionalFormatting>
  <conditionalFormatting sqref="AC20 AC26">
    <cfRule type="cellIs" dxfId="69" priority="117" operator="equal">
      <formula>1</formula>
    </cfRule>
  </conditionalFormatting>
  <conditionalFormatting sqref="AC8:AC10 AC12:AC16 AC57 AC59 AC20 AC53">
    <cfRule type="cellIs" dxfId="68" priority="112" operator="equal">
      <formula>1</formula>
    </cfRule>
  </conditionalFormatting>
  <conditionalFormatting sqref="AC22">
    <cfRule type="cellIs" dxfId="67" priority="111" operator="equal">
      <formula>1</formula>
    </cfRule>
  </conditionalFormatting>
  <conditionalFormatting sqref="AC58">
    <cfRule type="cellIs" dxfId="66" priority="96" operator="equal">
      <formula>1</formula>
    </cfRule>
  </conditionalFormatting>
  <conditionalFormatting sqref="AC58">
    <cfRule type="cellIs" dxfId="65" priority="97" operator="equal">
      <formula>1</formula>
    </cfRule>
  </conditionalFormatting>
  <conditionalFormatting sqref="AC19">
    <cfRule type="cellIs" dxfId="64" priority="110" operator="equal">
      <formula>1</formula>
    </cfRule>
  </conditionalFormatting>
  <conditionalFormatting sqref="AC55">
    <cfRule type="cellIs" dxfId="63" priority="107" operator="equal">
      <formula>1</formula>
    </cfRule>
  </conditionalFormatting>
  <conditionalFormatting sqref="AC55">
    <cfRule type="cellIs" dxfId="62" priority="108" operator="equal">
      <formula>1</formula>
    </cfRule>
  </conditionalFormatting>
  <conditionalFormatting sqref="AC55">
    <cfRule type="cellIs" dxfId="61" priority="109" operator="equal">
      <formula>1</formula>
    </cfRule>
  </conditionalFormatting>
  <conditionalFormatting sqref="AC42">
    <cfRule type="cellIs" dxfId="60" priority="103" operator="equal">
      <formula>1</formula>
    </cfRule>
  </conditionalFormatting>
  <conditionalFormatting sqref="AC42">
    <cfRule type="cellIs" dxfId="59" priority="104" operator="equal">
      <formula>1</formula>
    </cfRule>
  </conditionalFormatting>
  <conditionalFormatting sqref="AC56">
    <cfRule type="cellIs" dxfId="58" priority="98" operator="equal">
      <formula>1</formula>
    </cfRule>
  </conditionalFormatting>
  <conditionalFormatting sqref="AC56">
    <cfRule type="cellIs" dxfId="57" priority="99" operator="equal">
      <formula>1</formula>
    </cfRule>
  </conditionalFormatting>
  <conditionalFormatting sqref="AC56">
    <cfRule type="cellIs" dxfId="56" priority="100" operator="equal">
      <formula>1</formula>
    </cfRule>
  </conditionalFormatting>
  <conditionalFormatting sqref="AC56">
    <cfRule type="cellIs" dxfId="55" priority="101" operator="equal">
      <formula>1</formula>
    </cfRule>
  </conditionalFormatting>
  <conditionalFormatting sqref="AC56">
    <cfRule type="cellIs" dxfId="54" priority="102" operator="equal">
      <formula>1</formula>
    </cfRule>
  </conditionalFormatting>
  <conditionalFormatting sqref="AC28:AC30">
    <cfRule type="cellIs" dxfId="53" priority="95" operator="equal">
      <formula>1</formula>
    </cfRule>
  </conditionalFormatting>
  <conditionalFormatting sqref="AC52">
    <cfRule type="cellIs" dxfId="52" priority="94" operator="equal">
      <formula>1</formula>
    </cfRule>
  </conditionalFormatting>
  <conditionalFormatting sqref="AC52">
    <cfRule type="cellIs" dxfId="51" priority="93" operator="equal">
      <formula>1</formula>
    </cfRule>
  </conditionalFormatting>
  <conditionalFormatting sqref="AC36">
    <cfRule type="cellIs" dxfId="50" priority="92" operator="equal">
      <formula>1</formula>
    </cfRule>
  </conditionalFormatting>
  <conditionalFormatting sqref="AC36">
    <cfRule type="cellIs" dxfId="49" priority="91" operator="equal">
      <formula>1</formula>
    </cfRule>
  </conditionalFormatting>
  <conditionalFormatting sqref="AC54">
    <cfRule type="cellIs" dxfId="48" priority="86" operator="equal">
      <formula>1</formula>
    </cfRule>
  </conditionalFormatting>
  <conditionalFormatting sqref="AC54">
    <cfRule type="cellIs" dxfId="47" priority="87" operator="equal">
      <formula>1</formula>
    </cfRule>
  </conditionalFormatting>
  <conditionalFormatting sqref="AC54">
    <cfRule type="cellIs" dxfId="46" priority="88" operator="equal">
      <formula>1</formula>
    </cfRule>
  </conditionalFormatting>
  <conditionalFormatting sqref="AC54">
    <cfRule type="cellIs" dxfId="45" priority="89" operator="equal">
      <formula>1</formula>
    </cfRule>
  </conditionalFormatting>
  <conditionalFormatting sqref="AC54">
    <cfRule type="cellIs" dxfId="44" priority="90" operator="equal">
      <formula>1</formula>
    </cfRule>
  </conditionalFormatting>
  <conditionalFormatting sqref="AC17">
    <cfRule type="cellIs" dxfId="43" priority="85" operator="equal">
      <formula>1</formula>
    </cfRule>
  </conditionalFormatting>
  <conditionalFormatting sqref="AC17">
    <cfRule type="cellIs" dxfId="42" priority="84" operator="equal">
      <formula>1</formula>
    </cfRule>
  </conditionalFormatting>
  <conditionalFormatting sqref="AC49">
    <cfRule type="cellIs" dxfId="41" priority="83" operator="equal">
      <formula>1</formula>
    </cfRule>
  </conditionalFormatting>
  <conditionalFormatting sqref="AC80:AC81">
    <cfRule type="cellIs" dxfId="40" priority="76" operator="equal">
      <formula>1</formula>
    </cfRule>
  </conditionalFormatting>
  <conditionalFormatting sqref="AC75">
    <cfRule type="cellIs" dxfId="39" priority="75" operator="equal">
      <formula>1</formula>
    </cfRule>
  </conditionalFormatting>
  <conditionalFormatting sqref="AC79">
    <cfRule type="cellIs" dxfId="38" priority="72" operator="equal">
      <formula>1</formula>
    </cfRule>
  </conditionalFormatting>
  <conditionalFormatting sqref="AC21">
    <cfRule type="cellIs" dxfId="37" priority="71" operator="equal">
      <formula>1</formula>
    </cfRule>
  </conditionalFormatting>
  <conditionalFormatting sqref="AC68">
    <cfRule type="cellIs" dxfId="36" priority="68" operator="equal">
      <formula>1</formula>
    </cfRule>
  </conditionalFormatting>
  <conditionalFormatting sqref="AC27">
    <cfRule type="cellIs" dxfId="35" priority="67" operator="equal">
      <formula>1</formula>
    </cfRule>
  </conditionalFormatting>
  <conditionalFormatting sqref="AC69:AC72 AC65:AC67">
    <cfRule type="colorScale" priority="139">
      <colorScale>
        <cfvo type="num" val="1"/>
        <cfvo type="num" val="10"/>
        <color rgb="FF00B050"/>
        <color rgb="FFFFEF9C"/>
      </colorScale>
    </cfRule>
    <cfRule type="colorScale" priority="140">
      <colorScale>
        <cfvo type="num" val="2"/>
        <cfvo type="max"/>
        <color rgb="FF0070C0"/>
        <color rgb="FFFFEF9C"/>
      </colorScale>
    </cfRule>
  </conditionalFormatting>
  <conditionalFormatting sqref="AC68">
    <cfRule type="colorScale" priority="145">
      <colorScale>
        <cfvo type="num" val="1"/>
        <cfvo type="num" val="10"/>
        <color rgb="FF00B050"/>
        <color rgb="FFFFEF9C"/>
      </colorScale>
    </cfRule>
    <cfRule type="colorScale" priority="146">
      <colorScale>
        <cfvo type="num" val="2"/>
        <cfvo type="max"/>
        <color rgb="FF0070C0"/>
        <color rgb="FFFFEF9C"/>
      </colorScale>
    </cfRule>
  </conditionalFormatting>
  <conditionalFormatting sqref="AC50">
    <cfRule type="cellIs" dxfId="34" priority="66" operator="equal">
      <formula>1</formula>
    </cfRule>
  </conditionalFormatting>
  <conditionalFormatting sqref="AC78">
    <cfRule type="cellIs" dxfId="33" priority="63" operator="equal">
      <formula>1</formula>
    </cfRule>
  </conditionalFormatting>
  <conditionalFormatting sqref="AC78">
    <cfRule type="colorScale" priority="64">
      <colorScale>
        <cfvo type="num" val="1"/>
        <cfvo type="num" val="10"/>
        <color rgb="FF00B050"/>
        <color rgb="FFFFEF9C"/>
      </colorScale>
    </cfRule>
    <cfRule type="colorScale" priority="65">
      <colorScale>
        <cfvo type="num" val="2"/>
        <cfvo type="max"/>
        <color rgb="FF0070C0"/>
        <color rgb="FFFFEF9C"/>
      </colorScale>
    </cfRule>
  </conditionalFormatting>
  <conditionalFormatting sqref="AC11">
    <cfRule type="cellIs" dxfId="32" priority="56" operator="equal">
      <formula>1</formula>
    </cfRule>
  </conditionalFormatting>
  <conditionalFormatting sqref="AC11">
    <cfRule type="cellIs" dxfId="31" priority="52" operator="equal">
      <formula>1</formula>
    </cfRule>
  </conditionalFormatting>
  <conditionalFormatting sqref="AC11">
    <cfRule type="cellIs" dxfId="30" priority="53" operator="equal">
      <formula>1</formula>
    </cfRule>
  </conditionalFormatting>
  <conditionalFormatting sqref="AC11">
    <cfRule type="cellIs" dxfId="29" priority="54" operator="equal">
      <formula>1</formula>
    </cfRule>
  </conditionalFormatting>
  <conditionalFormatting sqref="AC11">
    <cfRule type="cellIs" dxfId="28" priority="55" operator="equal">
      <formula>1</formula>
    </cfRule>
  </conditionalFormatting>
  <conditionalFormatting sqref="AC11">
    <cfRule type="cellIs" dxfId="27" priority="51" operator="equal">
      <formula>1</formula>
    </cfRule>
  </conditionalFormatting>
  <conditionalFormatting sqref="AC32">
    <cfRule type="cellIs" dxfId="26" priority="50" operator="equal">
      <formula>1</formula>
    </cfRule>
  </conditionalFormatting>
  <conditionalFormatting sqref="AC60">
    <cfRule type="cellIs" dxfId="25" priority="48" operator="equal">
      <formula>1</formula>
    </cfRule>
  </conditionalFormatting>
  <conditionalFormatting sqref="AC73:AC74">
    <cfRule type="colorScale" priority="153">
      <colorScale>
        <cfvo type="num" val="1"/>
        <cfvo type="num" val="10"/>
        <color rgb="FF00B050"/>
        <color rgb="FFFFEF9C"/>
      </colorScale>
    </cfRule>
    <cfRule type="colorScale" priority="154">
      <colorScale>
        <cfvo type="num" val="2"/>
        <cfvo type="max"/>
        <color rgb="FF0070C0"/>
        <color rgb="FFFFEF9C"/>
      </colorScale>
    </cfRule>
  </conditionalFormatting>
  <conditionalFormatting sqref="AC18">
    <cfRule type="cellIs" dxfId="24" priority="38" operator="equal">
      <formula>1</formula>
    </cfRule>
  </conditionalFormatting>
  <conditionalFormatting sqref="AC18">
    <cfRule type="cellIs" dxfId="23" priority="37" operator="equal">
      <formula>1</formula>
    </cfRule>
  </conditionalFormatting>
  <conditionalFormatting sqref="AC77">
    <cfRule type="cellIs" dxfId="22" priority="34" operator="equal">
      <formula>1</formula>
    </cfRule>
  </conditionalFormatting>
  <conditionalFormatting sqref="AC77">
    <cfRule type="colorScale" priority="35">
      <colorScale>
        <cfvo type="num" val="1"/>
        <cfvo type="num" val="10"/>
        <color rgb="FF00B050"/>
        <color rgb="FFFFEF9C"/>
      </colorScale>
    </cfRule>
    <cfRule type="colorScale" priority="36">
      <colorScale>
        <cfvo type="num" val="2"/>
        <cfvo type="max"/>
        <color rgb="FF0070C0"/>
        <color rgb="FFFFEF9C"/>
      </colorScale>
    </cfRule>
  </conditionalFormatting>
  <conditionalFormatting sqref="AC76">
    <cfRule type="cellIs" dxfId="21" priority="31" operator="equal">
      <formula>1</formula>
    </cfRule>
  </conditionalFormatting>
  <conditionalFormatting sqref="AC76">
    <cfRule type="colorScale" priority="32">
      <colorScale>
        <cfvo type="num" val="1"/>
        <cfvo type="num" val="10"/>
        <color rgb="FF00B050"/>
        <color rgb="FFFFEF9C"/>
      </colorScale>
    </cfRule>
    <cfRule type="colorScale" priority="33">
      <colorScale>
        <cfvo type="num" val="2"/>
        <cfvo type="max"/>
        <color rgb="FF0070C0"/>
        <color rgb="FFFFEF9C"/>
      </colorScale>
    </cfRule>
  </conditionalFormatting>
  <conditionalFormatting sqref="AC31">
    <cfRule type="cellIs" dxfId="20" priority="30" operator="equal">
      <formula>1</formula>
    </cfRule>
  </conditionalFormatting>
  <conditionalFormatting sqref="AC31">
    <cfRule type="cellIs" dxfId="19" priority="29" operator="equal">
      <formula>1</formula>
    </cfRule>
  </conditionalFormatting>
  <conditionalFormatting sqref="AC33">
    <cfRule type="cellIs" dxfId="18" priority="28" operator="equal">
      <formula>1</formula>
    </cfRule>
  </conditionalFormatting>
  <conditionalFormatting sqref="AC33">
    <cfRule type="cellIs" dxfId="17" priority="27" operator="equal">
      <formula>1</formula>
    </cfRule>
  </conditionalFormatting>
  <conditionalFormatting sqref="AC82">
    <cfRule type="cellIs" dxfId="16" priority="26" operator="equal">
      <formula>1</formula>
    </cfRule>
  </conditionalFormatting>
  <conditionalFormatting sqref="AC83">
    <cfRule type="cellIs" dxfId="15" priority="21" operator="equal">
      <formula>1</formula>
    </cfRule>
  </conditionalFormatting>
  <conditionalFormatting sqref="AC84:AC86 AC82">
    <cfRule type="colorScale" priority="24">
      <colorScale>
        <cfvo type="num" val="1"/>
        <cfvo type="num" val="10"/>
        <color rgb="FF00B050"/>
        <color rgb="FFFFEF9C"/>
      </colorScale>
    </cfRule>
    <cfRule type="colorScale" priority="25">
      <colorScale>
        <cfvo type="num" val="2"/>
        <cfvo type="max"/>
        <color rgb="FF0070C0"/>
        <color rgb="FFFFEF9C"/>
      </colorScale>
    </cfRule>
  </conditionalFormatting>
  <conditionalFormatting sqref="AC5">
    <cfRule type="cellIs" dxfId="14" priority="20" operator="equal">
      <formula>1</formula>
    </cfRule>
  </conditionalFormatting>
  <conditionalFormatting sqref="AC5">
    <cfRule type="cellIs" dxfId="13" priority="19" operator="equal">
      <formula>1</formula>
    </cfRule>
  </conditionalFormatting>
  <conditionalFormatting sqref="AC39">
    <cfRule type="cellIs" dxfId="12" priority="18" operator="equal">
      <formula>1</formula>
    </cfRule>
  </conditionalFormatting>
  <conditionalFormatting sqref="AC39">
    <cfRule type="cellIs" dxfId="11" priority="17" operator="equal">
      <formula>1</formula>
    </cfRule>
  </conditionalFormatting>
  <conditionalFormatting sqref="Z24:AC24">
    <cfRule type="cellIs" dxfId="10" priority="16" operator="equal">
      <formula>1</formula>
    </cfRule>
  </conditionalFormatting>
  <conditionalFormatting sqref="Z7:AC7">
    <cfRule type="cellIs" dxfId="9" priority="15" operator="equal">
      <formula>1</formula>
    </cfRule>
  </conditionalFormatting>
  <conditionalFormatting sqref="Z7:AC7">
    <cfRule type="cellIs" dxfId="8" priority="14" operator="equal">
      <formula>1</formula>
    </cfRule>
  </conditionalFormatting>
  <conditionalFormatting sqref="AC6">
    <cfRule type="cellIs" dxfId="7" priority="13" operator="equal">
      <formula>1</formula>
    </cfRule>
  </conditionalFormatting>
  <conditionalFormatting sqref="AC6">
    <cfRule type="cellIs" dxfId="6" priority="12" operator="equal">
      <formula>1</formula>
    </cfRule>
  </conditionalFormatting>
  <conditionalFormatting sqref="AA60 AA58">
    <cfRule type="cellIs" dxfId="5" priority="5" operator="equal">
      <formula>1</formula>
    </cfRule>
  </conditionalFormatting>
  <conditionalFormatting sqref="AA60 AA58">
    <cfRule type="cellIs" dxfId="4" priority="6" operator="equal">
      <formula>1</formula>
    </cfRule>
  </conditionalFormatting>
  <conditionalFormatting sqref="AA60 AA58">
    <cfRule type="cellIs" dxfId="3" priority="4" operator="equal">
      <formula>1</formula>
    </cfRule>
  </conditionalFormatting>
  <conditionalFormatting sqref="AA55">
    <cfRule type="cellIs" dxfId="2" priority="2" operator="equal">
      <formula>1</formula>
    </cfRule>
  </conditionalFormatting>
  <conditionalFormatting sqref="AA55">
    <cfRule type="cellIs" dxfId="1" priority="3" operator="equal">
      <formula>1</formula>
    </cfRule>
  </conditionalFormatting>
  <conditionalFormatting sqref="AA55">
    <cfRule type="cellIs" dxfId="0" priority="1" operator="equal">
      <formula>1</formula>
    </cfRule>
  </conditionalFormatting>
  <conditionalFormatting sqref="E80:E81">
    <cfRule type="colorScale" priority="11077">
      <colorScale>
        <cfvo type="num" val="1"/>
        <cfvo type="num" val="10"/>
        <color rgb="FF00B050"/>
        <color rgb="FFFFEF9C"/>
      </colorScale>
    </cfRule>
    <cfRule type="colorScale" priority="11078">
      <colorScale>
        <cfvo type="num" val="2"/>
        <cfvo type="max"/>
        <color rgb="FF0070C0"/>
        <color rgb="FFFFEF9C"/>
      </colorScale>
    </cfRule>
  </conditionalFormatting>
  <conditionalFormatting sqref="F80:F81">
    <cfRule type="colorScale" priority="11079">
      <colorScale>
        <cfvo type="num" val="1"/>
        <cfvo type="num" val="10"/>
        <color rgb="FF00B050"/>
        <color rgb="FFFFEF9C"/>
      </colorScale>
    </cfRule>
    <cfRule type="colorScale" priority="11080">
      <colorScale>
        <cfvo type="num" val="2"/>
        <cfvo type="max"/>
        <color rgb="FF0070C0"/>
        <color rgb="FFFFEF9C"/>
      </colorScale>
    </cfRule>
  </conditionalFormatting>
  <conditionalFormatting sqref="G80:G81">
    <cfRule type="colorScale" priority="11081">
      <colorScale>
        <cfvo type="num" val="1"/>
        <cfvo type="num" val="10"/>
        <color rgb="FF00B050"/>
        <color rgb="FFFFEF9C"/>
      </colorScale>
    </cfRule>
    <cfRule type="colorScale" priority="11082">
      <colorScale>
        <cfvo type="num" val="2"/>
        <cfvo type="max"/>
        <color rgb="FF0070C0"/>
        <color rgb="FFFFEF9C"/>
      </colorScale>
    </cfRule>
  </conditionalFormatting>
  <conditionalFormatting sqref="H80:H81">
    <cfRule type="colorScale" priority="11083">
      <colorScale>
        <cfvo type="num" val="1"/>
        <cfvo type="num" val="10"/>
        <color rgb="FF00B050"/>
        <color rgb="FFFFEF9C"/>
      </colorScale>
    </cfRule>
    <cfRule type="colorScale" priority="11084">
      <colorScale>
        <cfvo type="num" val="2"/>
        <cfvo type="max"/>
        <color rgb="FF0070C0"/>
        <color rgb="FFFFEF9C"/>
      </colorScale>
    </cfRule>
  </conditionalFormatting>
  <conditionalFormatting sqref="I80:J81 I65:J72">
    <cfRule type="colorScale" priority="11085">
      <colorScale>
        <cfvo type="num" val="1"/>
        <cfvo type="num" val="10"/>
        <color rgb="FF00B050"/>
        <color rgb="FFFFEF9C"/>
      </colorScale>
    </cfRule>
    <cfRule type="colorScale" priority="11086">
      <colorScale>
        <cfvo type="num" val="2"/>
        <cfvo type="max"/>
        <color rgb="FF0070C0"/>
        <color rgb="FFFFEF9C"/>
      </colorScale>
    </cfRule>
  </conditionalFormatting>
  <conditionalFormatting sqref="K80:K81">
    <cfRule type="colorScale" priority="11089">
      <colorScale>
        <cfvo type="num" val="1"/>
        <cfvo type="num" val="10"/>
        <color rgb="FF00B050"/>
        <color rgb="FFFFEF9C"/>
      </colorScale>
    </cfRule>
    <cfRule type="colorScale" priority="11090">
      <colorScale>
        <cfvo type="num" val="2"/>
        <cfvo type="max"/>
        <color rgb="FF0070C0"/>
        <color rgb="FFFFEF9C"/>
      </colorScale>
    </cfRule>
  </conditionalFormatting>
  <conditionalFormatting sqref="L80:L81">
    <cfRule type="colorScale" priority="11091">
      <colorScale>
        <cfvo type="num" val="1"/>
        <cfvo type="num" val="10"/>
        <color rgb="FF00B050"/>
        <color rgb="FFFFEF9C"/>
      </colorScale>
    </cfRule>
    <cfRule type="colorScale" priority="11092">
      <colorScale>
        <cfvo type="num" val="2"/>
        <cfvo type="max"/>
        <color rgb="FF0070C0"/>
        <color rgb="FFFFEF9C"/>
      </colorScale>
    </cfRule>
  </conditionalFormatting>
  <conditionalFormatting sqref="M80:M81">
    <cfRule type="colorScale" priority="11093">
      <colorScale>
        <cfvo type="num" val="1"/>
        <cfvo type="num" val="10"/>
        <color rgb="FF00B050"/>
        <color rgb="FFFFEF9C"/>
      </colorScale>
    </cfRule>
    <cfRule type="colorScale" priority="11094">
      <colorScale>
        <cfvo type="num" val="2"/>
        <cfvo type="max"/>
        <color rgb="FF0070C0"/>
        <color rgb="FFFFEF9C"/>
      </colorScale>
    </cfRule>
  </conditionalFormatting>
  <conditionalFormatting sqref="N80:N81">
    <cfRule type="colorScale" priority="11095">
      <colorScale>
        <cfvo type="num" val="1"/>
        <cfvo type="num" val="10"/>
        <color rgb="FF00B050"/>
        <color rgb="FFFFEF9C"/>
      </colorScale>
    </cfRule>
    <cfRule type="colorScale" priority="11096">
      <colorScale>
        <cfvo type="num" val="2"/>
        <cfvo type="max"/>
        <color rgb="FF0070C0"/>
        <color rgb="FFFFEF9C"/>
      </colorScale>
    </cfRule>
  </conditionalFormatting>
  <conditionalFormatting sqref="O80:O81">
    <cfRule type="colorScale" priority="11097">
      <colorScale>
        <cfvo type="num" val="1"/>
        <cfvo type="num" val="10"/>
        <color rgb="FF00B050"/>
        <color rgb="FFFFEF9C"/>
      </colorScale>
    </cfRule>
    <cfRule type="colorScale" priority="11098">
      <colorScale>
        <cfvo type="num" val="2"/>
        <cfvo type="max"/>
        <color rgb="FF0070C0"/>
        <color rgb="FFFFEF9C"/>
      </colorScale>
    </cfRule>
  </conditionalFormatting>
  <conditionalFormatting sqref="P80:Q81 P65:Q72">
    <cfRule type="colorScale" priority="11099">
      <colorScale>
        <cfvo type="num" val="1"/>
        <cfvo type="num" val="10"/>
        <color rgb="FF00B050"/>
        <color rgb="FFFFEF9C"/>
      </colorScale>
    </cfRule>
    <cfRule type="colorScale" priority="11100">
      <colorScale>
        <cfvo type="num" val="2"/>
        <cfvo type="max"/>
        <color rgb="FF0070C0"/>
        <color rgb="FFFFEF9C"/>
      </colorScale>
    </cfRule>
  </conditionalFormatting>
  <conditionalFormatting sqref="R80:R81">
    <cfRule type="colorScale" priority="11103">
      <colorScale>
        <cfvo type="num" val="1"/>
        <cfvo type="num" val="10"/>
        <color rgb="FF00B050"/>
        <color rgb="FFFFEF9C"/>
      </colorScale>
    </cfRule>
    <cfRule type="colorScale" priority="11104">
      <colorScale>
        <cfvo type="num" val="2"/>
        <cfvo type="max"/>
        <color rgb="FF0070C0"/>
        <color rgb="FFFFEF9C"/>
      </colorScale>
    </cfRule>
  </conditionalFormatting>
  <conditionalFormatting sqref="S80:S81">
    <cfRule type="colorScale" priority="11105">
      <colorScale>
        <cfvo type="num" val="1"/>
        <cfvo type="num" val="10"/>
        <color rgb="FF00B050"/>
        <color rgb="FFFFEF9C"/>
      </colorScale>
    </cfRule>
    <cfRule type="colorScale" priority="11106">
      <colorScale>
        <cfvo type="num" val="2"/>
        <cfvo type="max"/>
        <color rgb="FF0070C0"/>
        <color rgb="FFFFEF9C"/>
      </colorScale>
    </cfRule>
  </conditionalFormatting>
  <conditionalFormatting sqref="T80:T81">
    <cfRule type="colorScale" priority="11107">
      <colorScale>
        <cfvo type="num" val="1"/>
        <cfvo type="num" val="10"/>
        <color rgb="FF00B050"/>
        <color rgb="FFFFEF9C"/>
      </colorScale>
    </cfRule>
    <cfRule type="colorScale" priority="11108">
      <colorScale>
        <cfvo type="num" val="2"/>
        <cfvo type="max"/>
        <color rgb="FF0070C0"/>
        <color rgb="FFFFEF9C"/>
      </colorScale>
    </cfRule>
  </conditionalFormatting>
  <conditionalFormatting sqref="U80:U81">
    <cfRule type="colorScale" priority="11109">
      <colorScale>
        <cfvo type="num" val="1"/>
        <cfvo type="num" val="10"/>
        <color rgb="FF00B050"/>
        <color rgb="FFFFEF9C"/>
      </colorScale>
    </cfRule>
    <cfRule type="colorScale" priority="11110">
      <colorScale>
        <cfvo type="num" val="2"/>
        <cfvo type="max"/>
        <color rgb="FF0070C0"/>
        <color rgb="FFFFEF9C"/>
      </colorScale>
    </cfRule>
  </conditionalFormatting>
  <conditionalFormatting sqref="V80:V81">
    <cfRule type="colorScale" priority="11111">
      <colorScale>
        <cfvo type="num" val="1"/>
        <cfvo type="num" val="10"/>
        <color rgb="FF00B050"/>
        <color rgb="FFFFEF9C"/>
      </colorScale>
    </cfRule>
    <cfRule type="colorScale" priority="11112">
      <colorScale>
        <cfvo type="num" val="2"/>
        <cfvo type="max"/>
        <color rgb="FF0070C0"/>
        <color rgb="FFFFEF9C"/>
      </colorScale>
    </cfRule>
  </conditionalFormatting>
  <conditionalFormatting sqref="W80:X81 W65:X72">
    <cfRule type="colorScale" priority="11113">
      <colorScale>
        <cfvo type="num" val="1"/>
        <cfvo type="num" val="10"/>
        <color rgb="FF00B050"/>
        <color rgb="FFFFEF9C"/>
      </colorScale>
    </cfRule>
    <cfRule type="colorScale" priority="11114">
      <colorScale>
        <cfvo type="num" val="2"/>
        <cfvo type="max"/>
        <color rgb="FF0070C0"/>
        <color rgb="FFFFEF9C"/>
      </colorScale>
    </cfRule>
  </conditionalFormatting>
  <conditionalFormatting sqref="Y80:Y81">
    <cfRule type="colorScale" priority="11117">
      <colorScale>
        <cfvo type="num" val="1"/>
        <cfvo type="num" val="10"/>
        <color rgb="FF00B050"/>
        <color rgb="FFFFEF9C"/>
      </colorScale>
    </cfRule>
    <cfRule type="colorScale" priority="11118">
      <colorScale>
        <cfvo type="num" val="2"/>
        <cfvo type="max"/>
        <color rgb="FF0070C0"/>
        <color rgb="FFFFEF9C"/>
      </colorScale>
    </cfRule>
  </conditionalFormatting>
  <conditionalFormatting sqref="Z80:Z81">
    <cfRule type="colorScale" priority="11119">
      <colorScale>
        <cfvo type="num" val="1"/>
        <cfvo type="num" val="10"/>
        <color rgb="FF00B050"/>
        <color rgb="FFFFEF9C"/>
      </colorScale>
    </cfRule>
    <cfRule type="colorScale" priority="11120">
      <colorScale>
        <cfvo type="num" val="2"/>
        <cfvo type="max"/>
        <color rgb="FF0070C0"/>
        <color rgb="FFFFEF9C"/>
      </colorScale>
    </cfRule>
  </conditionalFormatting>
  <conditionalFormatting sqref="AA80:AA81">
    <cfRule type="colorScale" priority="11121">
      <colorScale>
        <cfvo type="num" val="1"/>
        <cfvo type="num" val="10"/>
        <color rgb="FF00B050"/>
        <color rgb="FFFFEF9C"/>
      </colorScale>
    </cfRule>
    <cfRule type="colorScale" priority="11122">
      <colorScale>
        <cfvo type="num" val="2"/>
        <cfvo type="max"/>
        <color rgb="FF0070C0"/>
        <color rgb="FFFFEF9C"/>
      </colorScale>
    </cfRule>
  </conditionalFormatting>
  <conditionalFormatting sqref="AB80:AB81">
    <cfRule type="colorScale" priority="11123">
      <colorScale>
        <cfvo type="num" val="1"/>
        <cfvo type="num" val="10"/>
        <color rgb="FF00B050"/>
        <color rgb="FFFFEF9C"/>
      </colorScale>
    </cfRule>
    <cfRule type="colorScale" priority="11124">
      <colorScale>
        <cfvo type="num" val="2"/>
        <cfvo type="max"/>
        <color rgb="FF0070C0"/>
        <color rgb="FFFFEF9C"/>
      </colorScale>
    </cfRule>
  </conditionalFormatting>
  <conditionalFormatting sqref="AC80:AC81">
    <cfRule type="colorScale" priority="11125">
      <colorScale>
        <cfvo type="num" val="1"/>
        <cfvo type="num" val="10"/>
        <color rgb="FF00B050"/>
        <color rgb="FFFFEF9C"/>
      </colorScale>
    </cfRule>
    <cfRule type="colorScale" priority="11126">
      <colorScale>
        <cfvo type="num" val="2"/>
        <cfvo type="max"/>
        <color rgb="FF0070C0"/>
        <color rgb="FFFFEF9C"/>
      </colorScale>
    </cfRule>
  </conditionalFormatting>
  <conditionalFormatting sqref="I61:J61">
    <cfRule type="colorScale" priority="11140">
      <colorScale>
        <cfvo type="num" val="1"/>
        <cfvo type="num" val="10"/>
        <color rgb="FF00B050"/>
        <color rgb="FFFFEF9C"/>
      </colorScale>
    </cfRule>
    <cfRule type="colorScale" priority="11141">
      <colorScale>
        <cfvo type="num" val="2"/>
        <cfvo type="max"/>
        <color rgb="FF0070C0"/>
        <color rgb="FFFFEF9C"/>
      </colorScale>
    </cfRule>
  </conditionalFormatting>
  <conditionalFormatting sqref="P61:Q61">
    <cfRule type="colorScale" priority="11159">
      <colorScale>
        <cfvo type="num" val="1"/>
        <cfvo type="num" val="10"/>
        <color rgb="FF00B050"/>
        <color rgb="FFFFEF9C"/>
      </colorScale>
    </cfRule>
    <cfRule type="colorScale" priority="11160">
      <colorScale>
        <cfvo type="num" val="2"/>
        <cfvo type="max"/>
        <color rgb="FF0070C0"/>
        <color rgb="FFFFEF9C"/>
      </colorScale>
    </cfRule>
  </conditionalFormatting>
  <conditionalFormatting sqref="W61:X61">
    <cfRule type="colorScale" priority="11176">
      <colorScale>
        <cfvo type="num" val="1"/>
        <cfvo type="num" val="10"/>
        <color rgb="FF00B050"/>
        <color rgb="FFFFEF9C"/>
      </colorScale>
    </cfRule>
    <cfRule type="colorScale" priority="11177">
      <colorScale>
        <cfvo type="num" val="2"/>
        <cfvo type="max"/>
        <color rgb="FF0070C0"/>
        <color rgb="FFFFEF9C"/>
      </colorScale>
    </cfRule>
  </conditionalFormatting>
  <pageMargins left="0.43307086614173229" right="0.23622047244094491" top="0.74803149606299213" bottom="0.74803149606299213" header="0" footer="0"/>
  <pageSetup paperSize="9" scale="31" fitToWidth="0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31DC3-8C4E-4F9A-853B-E4F0EAF86EBB}">
  <sheetPr codeName="Planilha2"/>
  <dimension ref="A1"/>
  <sheetViews>
    <sheetView workbookViewId="0">
      <selection activeCell="E11" sqref="E11"/>
    </sheetView>
  </sheetViews>
  <sheetFormatPr defaultRowHeight="12.75"/>
  <sheetData/>
  <sortState xmlns:xlrd2="http://schemas.microsoft.com/office/spreadsheetml/2017/richdata2" ref="A1:B32">
    <sortCondition ref="A1"/>
  </sortState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Almoço</vt:lpstr>
      <vt:lpstr>PontoHoje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Rogeria Santana</dc:creator>
  <cp:lastModifiedBy>Roberto Freixeira da Silva Junior</cp:lastModifiedBy>
  <dcterms:created xsi:type="dcterms:W3CDTF">2019-09-23T15:11:11Z</dcterms:created>
  <dcterms:modified xsi:type="dcterms:W3CDTF">2020-09-01T20:02:28Z</dcterms:modified>
</cp:coreProperties>
</file>